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4305" windowWidth="14805" windowHeight="3810"/>
  </bookViews>
  <sheets>
    <sheet name="Generador" sheetId="5" r:id="rId1"/>
    <sheet name="Licencia" sheetId="8" r:id="rId2"/>
    <sheet name="Hoja1" sheetId="9" r:id="rId3"/>
    <sheet name="Hoja2" sheetId="10" r:id="rId4"/>
    <sheet name="Hoja3" sheetId="11" r:id="rId5"/>
    <sheet name="Hoja4" sheetId="12" r:id="rId6"/>
  </sheets>
  <definedNames>
    <definedName name="_xlnm.Print_Area" localSheetId="1">Licencia!$A$1:$T$58</definedName>
  </definedNames>
  <calcPr calcId="145621"/>
</workbook>
</file>

<file path=xl/calcChain.xml><?xml version="1.0" encoding="utf-8"?>
<calcChain xmlns="http://schemas.openxmlformats.org/spreadsheetml/2006/main">
  <c r="M7" i="8" l="1"/>
  <c r="Q7" i="8"/>
  <c r="F24" i="8" l="1"/>
  <c r="B21" i="8"/>
  <c r="D21" i="8"/>
  <c r="R7" i="8" l="1"/>
  <c r="J15" i="8" l="1"/>
  <c r="S15" i="8" l="1"/>
  <c r="I21" i="8" l="1"/>
  <c r="F21" i="8"/>
  <c r="H21" i="8"/>
  <c r="B11" i="9" l="1"/>
  <c r="J11" i="5" l="1"/>
  <c r="F28" i="8" l="1"/>
  <c r="F27" i="8"/>
  <c r="A26" i="8"/>
  <c r="E21" i="8"/>
  <c r="C17" i="8"/>
  <c r="Q15" i="8"/>
  <c r="F15" i="8"/>
  <c r="B15" i="8"/>
  <c r="S7" i="8"/>
  <c r="S2" i="8"/>
  <c r="S1" i="8"/>
  <c r="G26" i="5"/>
  <c r="G28" i="5" s="1"/>
  <c r="E26" i="5"/>
  <c r="I20" i="5"/>
  <c r="B2" i="5" s="1"/>
  <c r="J10" i="5"/>
  <c r="I2" i="5"/>
  <c r="H2" i="5"/>
  <c r="G2" i="5"/>
  <c r="E2" i="5"/>
  <c r="D2" i="5"/>
  <c r="C2" i="5"/>
  <c r="E28" i="5" l="1"/>
  <c r="E29" i="5"/>
  <c r="B47" i="8"/>
  <c r="E27" i="5"/>
  <c r="J9" i="5"/>
  <c r="I10" i="5" s="1"/>
  <c r="G27" i="5"/>
  <c r="G29" i="5"/>
  <c r="E30" i="5" l="1"/>
  <c r="G30" i="5"/>
  <c r="A2" i="5"/>
  <c r="F2" i="5" l="1"/>
</calcChain>
</file>

<file path=xl/sharedStrings.xml><?xml version="1.0" encoding="utf-8"?>
<sst xmlns="http://schemas.openxmlformats.org/spreadsheetml/2006/main" count="161" uniqueCount="128">
  <si>
    <t>DIRECCIÓN DE ADMINISTRACIÓN</t>
  </si>
  <si>
    <t>SOLICITUD DE LICENCIA</t>
  </si>
  <si>
    <t>MICHOACAN</t>
  </si>
  <si>
    <t>LUGAR</t>
  </si>
  <si>
    <t>DÍA</t>
  </si>
  <si>
    <t>MES</t>
  </si>
  <si>
    <t>AÑO</t>
  </si>
  <si>
    <t>Vo. Bo. JEFA DE SERVICIO</t>
  </si>
  <si>
    <t>LICENCIA CON SUELDO</t>
  </si>
  <si>
    <t>LICENCIA SIN SUELDO DE 1 A 3 DÍAS</t>
  </si>
  <si>
    <t>LICENCIA SIN SUELDO DE 4 A 60 DÍAS</t>
  </si>
  <si>
    <t>LICENCIA SIN SUELDO DE 61 A 365 DÍAS</t>
  </si>
  <si>
    <t>POR EL PERIODO QUE MENCIONO Y PARA TAL EFECTO PROPORCIONO LOS SIGUIENTES DATOS:</t>
  </si>
  <si>
    <t>APELLIDO PATERNO</t>
  </si>
  <si>
    <t>APELLIDO MATERNO</t>
  </si>
  <si>
    <t>NOMBRE(S)</t>
  </si>
  <si>
    <t>MATRÍCULA</t>
  </si>
  <si>
    <t>CATEGORIA</t>
  </si>
  <si>
    <t>ADSCRIPCION</t>
  </si>
  <si>
    <t xml:space="preserve">                                                               HOSPITAL GENERAL REGIONAL N° 1</t>
  </si>
  <si>
    <t>PERIODO QUE SOLICITA</t>
  </si>
  <si>
    <t>LICENCIAS ANTERIORES</t>
  </si>
  <si>
    <t>INICIO</t>
  </si>
  <si>
    <t>TERMINO</t>
  </si>
  <si>
    <t>SÍ</t>
  </si>
  <si>
    <t>NO</t>
  </si>
  <si>
    <t>CONTROL DE ADEUDOS</t>
  </si>
  <si>
    <t>130 RECUP. CRED Ó 159 HIPOTECARIO</t>
  </si>
  <si>
    <t>133 GASTOS DE ESCRITURACIÓN</t>
  </si>
  <si>
    <t>134 AUTOMOVIL S.M.I.</t>
  </si>
  <si>
    <t>136 PRESTAMO MEDIANO PLAZO</t>
  </si>
  <si>
    <t>ESTA LICENCIA SE AUTORIZA SI NO HAY ADEUDO EN LOS SIGUIENTES CONCEPTOS:</t>
  </si>
  <si>
    <t>CONCEPTOS</t>
  </si>
  <si>
    <t>CERTIFICADO DE NO ADEUDO</t>
  </si>
  <si>
    <t>138 LIBROS Y PUB. COMISIÓN PARITARIA</t>
  </si>
  <si>
    <t>160 REC. ANT. A CTA. SUELDOS (CLAUS. 97)</t>
  </si>
  <si>
    <t>139 SEGUROS COMISIÓN PARITAIA</t>
  </si>
  <si>
    <t>162 DESC. RESP. SOBRE INSTR. DE TRAB.</t>
  </si>
  <si>
    <t>140 CENTROS VAC. COMISIÓN PARITARIA</t>
  </si>
  <si>
    <t>166 CASAS COMERCIALES COMISIÓN PARIT.</t>
  </si>
  <si>
    <t>168 REC. POR VALE DE ROPA</t>
  </si>
  <si>
    <t>169 R. ADOS PERS. VALE CTA. SLDO. PREST.</t>
  </si>
  <si>
    <t>144 RECUP. ADEUDOS PERS. LLAMADAS TEL.</t>
  </si>
  <si>
    <t>CERTIFICACIÓN DE NO ADEUDOS CAJA DE AHORROS (PRESTAMO) CPTO. 190</t>
  </si>
  <si>
    <t>145 RECUP. VALE LINEA BLANCA ELECTR.</t>
  </si>
  <si>
    <t>156 DESC POR VIATICOS NO COMPROBADOS</t>
  </si>
  <si>
    <t>NOMBRE Y FIRMA</t>
  </si>
  <si>
    <t>FIRMA</t>
  </si>
  <si>
    <t>NÚMERO DE FOLIO</t>
  </si>
  <si>
    <t>MARCA DE BAJA</t>
  </si>
  <si>
    <t>ACUSE DE RECIBIDO</t>
  </si>
  <si>
    <t>FECHA DE MOVIMIENTO</t>
  </si>
  <si>
    <t>RESPONSABLE DEL REPORTE</t>
  </si>
  <si>
    <t>QNA. PROCESO</t>
  </si>
  <si>
    <t>CLAVE DE PLANTILLA</t>
  </si>
  <si>
    <t>FECHA PROB. REANUDACIÓN</t>
  </si>
  <si>
    <t>CIFRA DE CONTROL</t>
  </si>
  <si>
    <t>Inicio</t>
  </si>
  <si>
    <t>Fin</t>
  </si>
  <si>
    <t>Matricula:</t>
  </si>
  <si>
    <t>Descansos:</t>
  </si>
  <si>
    <t>Fecha:</t>
  </si>
  <si>
    <t>Nombre:</t>
  </si>
  <si>
    <t>Horario:</t>
  </si>
  <si>
    <t>Total de días:</t>
  </si>
  <si>
    <t>DIA</t>
  </si>
  <si>
    <t>Categoria:</t>
  </si>
  <si>
    <t>Generador de Licencias</t>
  </si>
  <si>
    <t>Motivo:</t>
  </si>
  <si>
    <t>Tipo de Licencia:</t>
  </si>
  <si>
    <t>Fecha elaboracion:</t>
  </si>
  <si>
    <t>NOMBRE</t>
  </si>
  <si>
    <t>TOTAL DE DIAS</t>
  </si>
  <si>
    <t>Comprobante:</t>
  </si>
  <si>
    <t>Turno:</t>
  </si>
  <si>
    <t>FECHA</t>
  </si>
  <si>
    <t>TIPO</t>
  </si>
  <si>
    <t>MATRICULA</t>
  </si>
  <si>
    <t>LAPSO</t>
  </si>
  <si>
    <t>MOTIVO</t>
  </si>
  <si>
    <t>DURACION</t>
  </si>
  <si>
    <t>TURNO</t>
  </si>
  <si>
    <t>Telefono:</t>
  </si>
  <si>
    <t>Clave: 1A74-009-036</t>
  </si>
  <si>
    <t>FUNCION</t>
  </si>
  <si>
    <t>Comprobante de la solicitud:</t>
  </si>
  <si>
    <t>OOAD:</t>
  </si>
  <si>
    <t>DEPENDENCIA:</t>
  </si>
  <si>
    <t>FOLIO</t>
  </si>
  <si>
    <t>Autorizacion</t>
  </si>
  <si>
    <t>Certificacion de Adeudos</t>
  </si>
  <si>
    <t>Solicita</t>
  </si>
  <si>
    <t>Trabajadora/Trabajador</t>
  </si>
  <si>
    <t xml:space="preserve"> </t>
  </si>
  <si>
    <t>Responsable de los Servicios de Personal</t>
  </si>
  <si>
    <t>Jefe de la Dependencia</t>
  </si>
  <si>
    <t>Es prorroga:</t>
  </si>
  <si>
    <t>Responsable de los Servicios de Personal Presente</t>
  </si>
  <si>
    <t>LA GOLETA, CHARO, MICHOACAN</t>
  </si>
  <si>
    <t>LLENESE SI SE TRATASE DE LICENCIA CON GOCE DE SUELDO:</t>
  </si>
  <si>
    <t>141 VELATORIOS COMISIÓN PARITARIA</t>
  </si>
  <si>
    <t>142 RECUP. ADEUDOS PERS. ACCID AUTO</t>
  </si>
  <si>
    <t>143 R. ADEUDOS PERS. FALT. CAJA O INV.</t>
  </si>
  <si>
    <t>148 SEGURO AUTOMOVIL</t>
  </si>
  <si>
    <t>OFICINA DE CONTROL DE FUERZA DE TRABAJO</t>
  </si>
  <si>
    <t>Folio:</t>
  </si>
  <si>
    <t>HORARIO</t>
  </si>
  <si>
    <t>DESCANSOS</t>
  </si>
  <si>
    <t>CONTEO</t>
  </si>
  <si>
    <t>JUN</t>
  </si>
  <si>
    <t>JUL</t>
  </si>
  <si>
    <t>AGO</t>
  </si>
  <si>
    <t>SEP</t>
  </si>
  <si>
    <t>OCT</t>
  </si>
  <si>
    <t>LLENESE SI SE TRATA DE LICENCIA CON GOCE DE SUELDO</t>
  </si>
  <si>
    <t>T.N. 564</t>
  </si>
  <si>
    <t>SAB- DOM</t>
  </si>
  <si>
    <t>Con goce</t>
  </si>
  <si>
    <t>VERONICA</t>
  </si>
  <si>
    <t>GONZALEZ</t>
  </si>
  <si>
    <t>MEDICO NO FAMILIAR</t>
  </si>
  <si>
    <t>7:30 A 14:00</t>
  </si>
  <si>
    <t>MATUTINO</t>
  </si>
  <si>
    <t>PERSONAL</t>
  </si>
  <si>
    <t>INE</t>
  </si>
  <si>
    <t>15  DIAS</t>
  </si>
  <si>
    <t>TM-564</t>
  </si>
  <si>
    <t>BRICEÑO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</si>
</sst>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 applyAlignment="1">
      <alignment horizontal="left"/>
    </xf>
    <xf numFmtId="0" fontId="0" fillId="2" borderId="7" xfId="0" applyFill="1" applyBorder="1"/>
    <xf numFmtId="0" fontId="0" fillId="2" borderId="0" xfId="0" applyFill="1" applyBorder="1" applyAlignment="1">
      <alignment horizontal="left"/>
    </xf>
    <xf numFmtId="0" fontId="0" fillId="2" borderId="8" xfId="0" applyFill="1" applyBorder="1"/>
    <xf numFmtId="0" fontId="4" fillId="2" borderId="1" xfId="0" applyFont="1" applyFill="1" applyBorder="1" applyAlignment="1">
      <alignment horizontal="center" vertical="top"/>
    </xf>
    <xf numFmtId="0" fontId="4" fillId="2" borderId="9" xfId="0" applyFont="1" applyFill="1" applyBorder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10" xfId="0" applyFont="1" applyFill="1" applyBorder="1" applyAlignment="1">
      <alignment horizontal="center" vertical="top"/>
    </xf>
    <xf numFmtId="0" fontId="0" fillId="2" borderId="0" xfId="0" applyFill="1" applyBorder="1" applyAlignment="1">
      <alignment horizontal="left" indent="1"/>
    </xf>
    <xf numFmtId="0" fontId="7" fillId="2" borderId="0" xfId="0" applyFont="1" applyFill="1" applyBorder="1" applyAlignment="1">
      <alignment horizontal="left" indent="2"/>
    </xf>
    <xf numFmtId="0" fontId="0" fillId="2" borderId="13" xfId="0" applyFill="1" applyBorder="1"/>
    <xf numFmtId="0" fontId="6" fillId="2" borderId="13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vertical="center" wrapText="1"/>
    </xf>
    <xf numFmtId="0" fontId="0" fillId="2" borderId="10" xfId="0" applyFill="1" applyBorder="1"/>
    <xf numFmtId="0" fontId="8" fillId="0" borderId="0" xfId="0" applyFont="1"/>
    <xf numFmtId="0" fontId="4" fillId="2" borderId="5" xfId="0" applyFont="1" applyFill="1" applyBorder="1" applyAlignment="1">
      <alignment horizontal="left" vertical="center"/>
    </xf>
    <xf numFmtId="0" fontId="0" fillId="2" borderId="9" xfId="0" applyFill="1" applyBorder="1"/>
    <xf numFmtId="0" fontId="9" fillId="2" borderId="9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17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9" xfId="0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9" fillId="2" borderId="18" xfId="0" applyFont="1" applyFill="1" applyBorder="1" applyAlignment="1">
      <alignment horizontal="center" vertical="top"/>
    </xf>
    <xf numFmtId="0" fontId="9" fillId="2" borderId="7" xfId="0" applyFont="1" applyFill="1" applyBorder="1" applyAlignment="1">
      <alignment horizontal="center" vertical="top"/>
    </xf>
    <xf numFmtId="0" fontId="0" fillId="2" borderId="4" xfId="0" applyFill="1" applyBorder="1" applyAlignment="1">
      <alignment textRotation="255"/>
    </xf>
    <xf numFmtId="0" fontId="0" fillId="2" borderId="1" xfId="0" applyFill="1" applyBorder="1" applyAlignment="1"/>
    <xf numFmtId="0" fontId="0" fillId="2" borderId="18" xfId="0" applyFill="1" applyBorder="1"/>
    <xf numFmtId="0" fontId="0" fillId="2" borderId="1" xfId="0" applyFill="1" applyBorder="1"/>
    <xf numFmtId="0" fontId="2" fillId="2" borderId="4" xfId="0" applyFont="1" applyFill="1" applyBorder="1"/>
    <xf numFmtId="0" fontId="7" fillId="2" borderId="0" xfId="0" applyFont="1" applyFill="1" applyBorder="1" applyAlignment="1">
      <alignment vertical="center"/>
    </xf>
    <xf numFmtId="0" fontId="0" fillId="0" borderId="0" xfId="0" applyProtection="1"/>
    <xf numFmtId="0" fontId="0" fillId="4" borderId="0" xfId="0" applyFill="1" applyBorder="1" applyProtection="1"/>
    <xf numFmtId="0" fontId="0" fillId="4" borderId="15" xfId="0" applyFill="1" applyBorder="1" applyProtection="1"/>
    <xf numFmtId="0" fontId="0" fillId="4" borderId="14" xfId="0" applyFill="1" applyBorder="1" applyProtection="1"/>
    <xf numFmtId="14" fontId="0" fillId="4" borderId="0" xfId="0" applyNumberFormat="1" applyFill="1" applyBorder="1" applyAlignment="1" applyProtection="1"/>
    <xf numFmtId="0" fontId="0" fillId="4" borderId="19" xfId="0" applyFill="1" applyBorder="1" applyProtection="1"/>
    <xf numFmtId="0" fontId="0" fillId="4" borderId="20" xfId="0" applyFill="1" applyBorder="1" applyProtection="1"/>
    <xf numFmtId="14" fontId="0" fillId="0" borderId="0" xfId="0" applyNumberFormat="1" applyProtection="1"/>
    <xf numFmtId="0" fontId="0" fillId="4" borderId="20" xfId="0" applyFill="1" applyBorder="1" applyProtection="1"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4" xfId="0" applyFont="1" applyFill="1" applyBorder="1" applyAlignment="1" applyProtection="1">
      <alignment horizontal="left" vertical="center"/>
    </xf>
    <xf numFmtId="0" fontId="0" fillId="4" borderId="15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10" fillId="4" borderId="0" xfId="0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/>
    </xf>
    <xf numFmtId="0" fontId="10" fillId="4" borderId="15" xfId="0" applyFont="1" applyFill="1" applyBorder="1" applyAlignment="1" applyProtection="1">
      <alignment horizontal="center"/>
    </xf>
    <xf numFmtId="0" fontId="0" fillId="2" borderId="22" xfId="0" applyFill="1" applyBorder="1" applyProtection="1">
      <protection locked="0"/>
    </xf>
    <xf numFmtId="14" fontId="0" fillId="4" borderId="20" xfId="0" applyNumberFormat="1" applyFill="1" applyBorder="1" applyProtection="1">
      <protection locked="0"/>
    </xf>
    <xf numFmtId="14" fontId="0" fillId="4" borderId="21" xfId="0" applyNumberFormat="1" applyFill="1" applyBorder="1" applyProtection="1">
      <protection locked="0"/>
    </xf>
    <xf numFmtId="14" fontId="14" fillId="4" borderId="0" xfId="0" applyNumberFormat="1" applyFont="1" applyFill="1" applyBorder="1" applyAlignment="1" applyProtection="1">
      <alignment horizontal="left" vertical="center"/>
    </xf>
    <xf numFmtId="0" fontId="14" fillId="4" borderId="0" xfId="0" applyFont="1" applyFill="1" applyBorder="1" applyAlignment="1" applyProtection="1">
      <alignment horizontal="left" vertical="center"/>
    </xf>
    <xf numFmtId="0" fontId="14" fillId="4" borderId="0" xfId="0" applyFont="1" applyFill="1" applyBorder="1" applyProtection="1"/>
    <xf numFmtId="0" fontId="15" fillId="4" borderId="0" xfId="0" applyFont="1" applyFill="1" applyBorder="1" applyProtection="1"/>
    <xf numFmtId="0" fontId="0" fillId="2" borderId="1" xfId="0" applyNumberFormat="1" applyFill="1" applyBorder="1" applyProtection="1">
      <protection locked="0"/>
    </xf>
    <xf numFmtId="0" fontId="0" fillId="2" borderId="23" xfId="0" applyNumberFormat="1" applyFill="1" applyBorder="1" applyProtection="1">
      <protection locked="0"/>
    </xf>
    <xf numFmtId="14" fontId="12" fillId="0" borderId="0" xfId="0" applyNumberFormat="1" applyFont="1" applyProtection="1"/>
    <xf numFmtId="0" fontId="12" fillId="0" borderId="0" xfId="0" applyFont="1" applyProtection="1"/>
    <xf numFmtId="0" fontId="12" fillId="2" borderId="0" xfId="0" applyFont="1" applyFill="1" applyProtection="1"/>
    <xf numFmtId="14" fontId="12" fillId="2" borderId="0" xfId="0" applyNumberFormat="1" applyFont="1" applyFill="1" applyProtection="1"/>
    <xf numFmtId="0" fontId="12" fillId="2" borderId="0" xfId="0" applyFont="1" applyFill="1" applyAlignment="1" applyProtection="1">
      <alignment horizontal="left"/>
    </xf>
    <xf numFmtId="14" fontId="15" fillId="4" borderId="0" xfId="0" applyNumberFormat="1" applyFont="1" applyFill="1" applyBorder="1" applyAlignment="1" applyProtection="1"/>
    <xf numFmtId="0" fontId="0" fillId="2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Protection="1"/>
    <xf numFmtId="0" fontId="6" fillId="2" borderId="6" xfId="0" applyFont="1" applyFill="1" applyBorder="1" applyAlignment="1">
      <alignment vertical="top"/>
    </xf>
    <xf numFmtId="0" fontId="2" fillId="2" borderId="3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9" fillId="2" borderId="13" xfId="0" applyFont="1" applyFill="1" applyBorder="1" applyAlignment="1"/>
    <xf numFmtId="0" fontId="3" fillId="2" borderId="0" xfId="0" applyFont="1" applyFill="1" applyBorder="1" applyAlignment="1"/>
    <xf numFmtId="0" fontId="7" fillId="2" borderId="9" xfId="0" applyFont="1" applyFill="1" applyBorder="1" applyAlignment="1">
      <alignment horizontal="left" vertical="center" indent="1"/>
    </xf>
    <xf numFmtId="0" fontId="7" fillId="2" borderId="16" xfId="0" applyFont="1" applyFill="1" applyBorder="1" applyAlignment="1">
      <alignment horizontal="left" vertical="center" indent="1"/>
    </xf>
    <xf numFmtId="0" fontId="7" fillId="2" borderId="17" xfId="0" applyFont="1" applyFill="1" applyBorder="1" applyAlignment="1">
      <alignment horizontal="left" vertical="center" indent="1"/>
    </xf>
    <xf numFmtId="0" fontId="4" fillId="2" borderId="17" xfId="0" applyFont="1" applyFill="1" applyBorder="1" applyAlignment="1">
      <alignment vertical="top"/>
    </xf>
    <xf numFmtId="0" fontId="0" fillId="2" borderId="1" xfId="0" applyFill="1" applyBorder="1" applyAlignment="1" applyProtection="1">
      <alignment horizontal="center"/>
      <protection locked="0"/>
    </xf>
    <xf numFmtId="0" fontId="11" fillId="2" borderId="0" xfId="0" applyFont="1" applyFill="1" applyBorder="1"/>
    <xf numFmtId="164" fontId="11" fillId="2" borderId="0" xfId="0" applyNumberFormat="1" applyFont="1" applyFill="1" applyBorder="1"/>
    <xf numFmtId="0" fontId="0" fillId="0" borderId="0" xfId="0" applyBorder="1"/>
    <xf numFmtId="14" fontId="7" fillId="2" borderId="16" xfId="0" applyNumberFormat="1" applyFont="1" applyFill="1" applyBorder="1" applyAlignment="1">
      <alignment vertical="top" wrapText="1"/>
    </xf>
    <xf numFmtId="0" fontId="0" fillId="2" borderId="1" xfId="0" applyFont="1" applyFill="1" applyBorder="1" applyAlignment="1" applyProtection="1">
      <alignment horizontal="center"/>
      <protection locked="0"/>
    </xf>
    <xf numFmtId="0" fontId="1" fillId="0" borderId="13" xfId="0" applyFont="1" applyFill="1" applyBorder="1"/>
    <xf numFmtId="0" fontId="18" fillId="2" borderId="1" xfId="0" applyFont="1" applyFill="1" applyBorder="1"/>
    <xf numFmtId="0" fontId="0" fillId="0" borderId="1" xfId="0" applyFill="1" applyBorder="1" applyProtection="1"/>
    <xf numFmtId="0" fontId="0" fillId="4" borderId="0" xfId="0" applyFill="1" applyProtection="1"/>
    <xf numFmtId="0" fontId="10" fillId="2" borderId="1" xfId="0" applyFont="1" applyFill="1" applyBorder="1" applyAlignment="1" applyProtection="1">
      <alignment horizontal="center" vertical="center"/>
    </xf>
    <xf numFmtId="0" fontId="4" fillId="2" borderId="5" xfId="0" applyFont="1" applyFill="1" applyBorder="1" applyAlignment="1">
      <alignment horizontal="center" vertical="top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6" xfId="0" applyFill="1" applyBorder="1" applyAlignment="1" applyProtection="1">
      <alignment horizontal="center"/>
      <protection locked="0"/>
    </xf>
    <xf numFmtId="0" fontId="0" fillId="2" borderId="17" xfId="0" applyFill="1" applyBorder="1" applyAlignment="1" applyProtection="1">
      <alignment horizontal="center"/>
      <protection locked="0"/>
    </xf>
    <xf numFmtId="0" fontId="13" fillId="3" borderId="24" xfId="0" applyFont="1" applyFill="1" applyBorder="1" applyAlignment="1" applyProtection="1">
      <alignment horizontal="center" vertical="center"/>
    </xf>
    <xf numFmtId="0" fontId="13" fillId="3" borderId="25" xfId="0" applyFont="1" applyFill="1" applyBorder="1" applyAlignment="1" applyProtection="1">
      <alignment horizontal="center" vertical="center"/>
    </xf>
    <xf numFmtId="0" fontId="13" fillId="3" borderId="26" xfId="0" applyFont="1" applyFill="1" applyBorder="1" applyAlignment="1" applyProtection="1">
      <alignment horizontal="center" vertical="center"/>
    </xf>
    <xf numFmtId="14" fontId="7" fillId="2" borderId="9" xfId="0" applyNumberFormat="1" applyFont="1" applyFill="1" applyBorder="1" applyAlignment="1" applyProtection="1">
      <alignment horizontal="center"/>
      <protection locked="0"/>
    </xf>
    <xf numFmtId="14" fontId="0" fillId="2" borderId="16" xfId="0" applyNumberFormat="1" applyFill="1" applyBorder="1" applyAlignment="1" applyProtection="1">
      <alignment horizontal="center"/>
      <protection locked="0"/>
    </xf>
    <xf numFmtId="14" fontId="0" fillId="2" borderId="17" xfId="0" applyNumberFormat="1" applyFill="1" applyBorder="1" applyAlignment="1" applyProtection="1">
      <alignment horizontal="center"/>
      <protection locked="0"/>
    </xf>
    <xf numFmtId="14" fontId="0" fillId="2" borderId="1" xfId="0" applyNumberFormat="1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</xf>
    <xf numFmtId="14" fontId="0" fillId="2" borderId="9" xfId="0" applyNumberFormat="1" applyFill="1" applyBorder="1" applyAlignment="1" applyProtection="1">
      <alignment horizontal="center"/>
      <protection locked="0"/>
    </xf>
    <xf numFmtId="0" fontId="2" fillId="4" borderId="15" xfId="0" applyFont="1" applyFill="1" applyBorder="1" applyAlignment="1" applyProtection="1">
      <alignment horizontal="center"/>
    </xf>
    <xf numFmtId="20" fontId="0" fillId="2" borderId="9" xfId="0" applyNumberFormat="1" applyFill="1" applyBorder="1" applyAlignment="1" applyProtection="1">
      <alignment horizontal="center"/>
      <protection locked="0"/>
    </xf>
    <xf numFmtId="17" fontId="0" fillId="2" borderId="16" xfId="0" applyNumberFormat="1" applyFill="1" applyBorder="1" applyAlignment="1" applyProtection="1">
      <alignment horizontal="center"/>
      <protection locked="0"/>
    </xf>
    <xf numFmtId="17" fontId="0" fillId="2" borderId="17" xfId="0" applyNumberFormat="1" applyFill="1" applyBorder="1" applyAlignment="1" applyProtection="1">
      <alignment horizontal="center"/>
      <protection locked="0"/>
    </xf>
    <xf numFmtId="0" fontId="0" fillId="2" borderId="9" xfId="0" applyNumberFormat="1" applyFill="1" applyBorder="1" applyAlignment="1" applyProtection="1">
      <alignment horizontal="center"/>
      <protection locked="0"/>
    </xf>
    <xf numFmtId="0" fontId="0" fillId="2" borderId="16" xfId="0" applyNumberFormat="1" applyFill="1" applyBorder="1" applyAlignment="1" applyProtection="1">
      <alignment horizontal="center"/>
      <protection locked="0"/>
    </xf>
    <xf numFmtId="0" fontId="0" fillId="2" borderId="17" xfId="0" applyNumberForma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left" vertical="center" indent="1"/>
    </xf>
    <xf numFmtId="0" fontId="7" fillId="2" borderId="16" xfId="0" applyFont="1" applyFill="1" applyBorder="1" applyAlignment="1">
      <alignment horizontal="left" vertical="center" indent="1"/>
    </xf>
    <xf numFmtId="0" fontId="7" fillId="2" borderId="17" xfId="0" applyFont="1" applyFill="1" applyBorder="1" applyAlignment="1">
      <alignment horizontal="left" vertical="center" indent="1"/>
    </xf>
    <xf numFmtId="0" fontId="7" fillId="2" borderId="9" xfId="0" applyFont="1" applyFill="1" applyBorder="1" applyAlignment="1">
      <alignment horizontal="left" vertical="top" wrapText="1"/>
    </xf>
    <xf numFmtId="0" fontId="7" fillId="2" borderId="16" xfId="0" applyFont="1" applyFill="1" applyBorder="1" applyAlignment="1">
      <alignment horizontal="left" vertical="top" wrapText="1"/>
    </xf>
    <xf numFmtId="0" fontId="4" fillId="2" borderId="2" xfId="0" applyFont="1" applyFill="1" applyBorder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9" fillId="2" borderId="2" xfId="0" applyFont="1" applyFill="1" applyBorder="1" applyAlignment="1">
      <alignment horizontal="center" vertical="top"/>
    </xf>
    <xf numFmtId="0" fontId="9" fillId="2" borderId="7" xfId="0" applyFont="1" applyFill="1" applyBorder="1" applyAlignment="1">
      <alignment horizontal="center" vertical="top"/>
    </xf>
    <xf numFmtId="0" fontId="9" fillId="2" borderId="18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 vertical="top"/>
    </xf>
    <xf numFmtId="0" fontId="9" fillId="2" borderId="16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/>
    </xf>
    <xf numFmtId="0" fontId="0" fillId="2" borderId="8" xfId="0" applyFill="1" applyBorder="1" applyAlignment="1">
      <alignment horizontal="center" textRotation="90"/>
    </xf>
    <xf numFmtId="0" fontId="7" fillId="2" borderId="14" xfId="0" applyFont="1" applyFill="1" applyBorder="1" applyAlignment="1">
      <alignment horizontal="left" vertical="center" wrapText="1" indent="1"/>
    </xf>
    <xf numFmtId="0" fontId="7" fillId="2" borderId="0" xfId="0" applyFont="1" applyFill="1" applyBorder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 wrapText="1"/>
    </xf>
    <xf numFmtId="0" fontId="7" fillId="2" borderId="15" xfId="0" applyFont="1" applyFill="1" applyBorder="1" applyAlignment="1">
      <alignment horizontal="left" vertical="center" wrapText="1" indent="1"/>
    </xf>
    <xf numFmtId="0" fontId="7" fillId="2" borderId="6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top" wrapText="1"/>
    </xf>
    <xf numFmtId="0" fontId="9" fillId="2" borderId="16" xfId="0" applyFont="1" applyFill="1" applyBorder="1" applyAlignment="1">
      <alignment horizontal="center" vertical="top" wrapText="1"/>
    </xf>
    <xf numFmtId="0" fontId="9" fillId="2" borderId="17" xfId="0" applyFont="1" applyFill="1" applyBorder="1" applyAlignment="1">
      <alignment horizontal="center" vertical="top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left"/>
    </xf>
    <xf numFmtId="0" fontId="11" fillId="2" borderId="14" xfId="0" applyFont="1" applyFill="1" applyBorder="1" applyAlignment="1">
      <alignment horizontal="left" vertical="center" wrapText="1" indent="1"/>
    </xf>
    <xf numFmtId="0" fontId="11" fillId="2" borderId="0" xfId="0" applyFont="1" applyFill="1" applyBorder="1" applyAlignment="1">
      <alignment horizontal="left" vertical="center" wrapText="1" indent="1"/>
    </xf>
    <xf numFmtId="0" fontId="16" fillId="0" borderId="0" xfId="0" applyFont="1" applyBorder="1" applyAlignment="1">
      <alignment horizontal="left" vertical="center" wrapText="1" indent="1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top" wrapText="1"/>
    </xf>
    <xf numFmtId="0" fontId="0" fillId="2" borderId="16" xfId="0" applyFont="1" applyFill="1" applyBorder="1" applyAlignment="1">
      <alignment horizontal="center" vertical="top" wrapText="1"/>
    </xf>
    <xf numFmtId="0" fontId="0" fillId="2" borderId="17" xfId="0" applyFont="1" applyFill="1" applyBorder="1" applyAlignment="1">
      <alignment horizontal="center" vertical="top" wrapText="1"/>
    </xf>
    <xf numFmtId="14" fontId="7" fillId="2" borderId="16" xfId="0" applyNumberFormat="1" applyFont="1" applyFill="1" applyBorder="1" applyAlignment="1">
      <alignment horizontal="center" vertical="top" wrapText="1"/>
    </xf>
    <xf numFmtId="0" fontId="7" fillId="2" borderId="16" xfId="0" applyFont="1" applyFill="1" applyBorder="1" applyAlignment="1">
      <alignment horizontal="center" vertical="top" wrapText="1"/>
    </xf>
    <xf numFmtId="0" fontId="7" fillId="2" borderId="17" xfId="0" applyFont="1" applyFill="1" applyBorder="1" applyAlignment="1">
      <alignment horizontal="center" vertical="top" wrapText="1"/>
    </xf>
    <xf numFmtId="14" fontId="10" fillId="2" borderId="16" xfId="0" applyNumberFormat="1" applyFont="1" applyFill="1" applyBorder="1" applyAlignment="1">
      <alignment horizontal="center" vertical="top" wrapText="1"/>
    </xf>
    <xf numFmtId="0" fontId="10" fillId="2" borderId="16" xfId="0" applyFont="1" applyFill="1" applyBorder="1" applyAlignment="1">
      <alignment horizontal="center" vertical="top" wrapText="1"/>
    </xf>
    <xf numFmtId="0" fontId="10" fillId="2" borderId="17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4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6" xfId="0" applyFont="1" applyFill="1" applyBorder="1" applyAlignment="1">
      <alignment horizontal="center" vertical="top" wrapText="1"/>
    </xf>
    <xf numFmtId="0" fontId="7" fillId="2" borderId="10" xfId="0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top"/>
    </xf>
    <xf numFmtId="0" fontId="9" fillId="2" borderId="0" xfId="0" applyFont="1" applyFill="1" applyBorder="1" applyAlignment="1">
      <alignment horizontal="center" vertical="top"/>
    </xf>
    <xf numFmtId="0" fontId="9" fillId="2" borderId="8" xfId="0" applyFont="1" applyFill="1" applyBorder="1" applyAlignment="1">
      <alignment horizontal="center" vertical="top"/>
    </xf>
    <xf numFmtId="0" fontId="9" fillId="2" borderId="12" xfId="0" applyFont="1" applyFill="1" applyBorder="1" applyAlignment="1">
      <alignment horizontal="center" vertical="top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18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9" fillId="2" borderId="11" xfId="0" applyFont="1" applyFill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6" fillId="2" borderId="6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9" fillId="2" borderId="6" xfId="0" applyFont="1" applyFill="1" applyBorder="1" applyAlignment="1">
      <alignment horizontal="center" vertical="top"/>
    </xf>
    <xf numFmtId="0" fontId="9" fillId="2" borderId="10" xfId="0" applyFont="1" applyFill="1" applyBorder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5EAC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26</xdr:row>
      <xdr:rowOff>123825</xdr:rowOff>
    </xdr:from>
    <xdr:to>
      <xdr:col>8</xdr:col>
      <xdr:colOff>200025</xdr:colOff>
      <xdr:row>30</xdr:row>
      <xdr:rowOff>104775</xdr:rowOff>
    </xdr:to>
    <xdr:sp macro="[0]!Imprimir" textlink="">
      <xdr:nvSpPr>
        <xdr:cNvPr id="2" name="1 Rectángulo redondeado"/>
        <xdr:cNvSpPr/>
      </xdr:nvSpPr>
      <xdr:spPr>
        <a:xfrm>
          <a:off x="4810125" y="5248275"/>
          <a:ext cx="3086100" cy="742950"/>
        </a:xfrm>
        <a:prstGeom prst="roundRect">
          <a:avLst/>
        </a:prstGeom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184929</xdr:colOff>
      <xdr:row>2</xdr:row>
      <xdr:rowOff>66181</xdr:rowOff>
    </xdr:from>
    <xdr:to>
      <xdr:col>3</xdr:col>
      <xdr:colOff>219809</xdr:colOff>
      <xdr:row>4</xdr:row>
      <xdr:rowOff>234462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7" y="307969"/>
          <a:ext cx="584400" cy="549281"/>
        </a:xfrm>
        <a:prstGeom prst="rect">
          <a:avLst/>
        </a:prstGeom>
      </xdr:spPr>
    </xdr:pic>
    <xdr:clientData/>
  </xdr:twoCellAnchor>
  <xdr:twoCellAnchor>
    <xdr:from>
      <xdr:col>3</xdr:col>
      <xdr:colOff>371475</xdr:colOff>
      <xdr:row>23</xdr:row>
      <xdr:rowOff>28575</xdr:rowOff>
    </xdr:from>
    <xdr:to>
      <xdr:col>4</xdr:col>
      <xdr:colOff>152400</xdr:colOff>
      <xdr:row>24</xdr:row>
      <xdr:rowOff>85725</xdr:rowOff>
    </xdr:to>
    <xdr:sp macro="" textlink="">
      <xdr:nvSpPr>
        <xdr:cNvPr id="4" name="3 Rectángulo"/>
        <xdr:cNvSpPr/>
      </xdr:nvSpPr>
      <xdr:spPr>
        <a:xfrm>
          <a:off x="1343025" y="4067175"/>
          <a:ext cx="219075" cy="190500"/>
        </a:xfrm>
        <a:prstGeom prst="rect">
          <a:avLst/>
        </a:prstGeom>
        <a:solidFill>
          <a:schemeClr val="tx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ysClr val="windowText" lastClr="000000"/>
            </a:solidFill>
          </a:endParaRPr>
        </a:p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28575</xdr:colOff>
      <xdr:row>23</xdr:row>
      <xdr:rowOff>9526</xdr:rowOff>
    </xdr:from>
    <xdr:to>
      <xdr:col>3</xdr:col>
      <xdr:colOff>276225</xdr:colOff>
      <xdr:row>24</xdr:row>
      <xdr:rowOff>76200</xdr:rowOff>
    </xdr:to>
    <xdr:sp macro="" textlink="">
      <xdr:nvSpPr>
        <xdr:cNvPr id="5" name="4 Rectángulo"/>
        <xdr:cNvSpPr/>
      </xdr:nvSpPr>
      <xdr:spPr>
        <a:xfrm>
          <a:off x="1000125" y="4048126"/>
          <a:ext cx="247650" cy="20002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32"/>
  <sheetViews>
    <sheetView showGridLines="0" tabSelected="1" topLeftCell="B1" zoomScaleNormal="100" workbookViewId="0">
      <selection activeCell="E20" sqref="E20:G20"/>
    </sheetView>
  </sheetViews>
  <sheetFormatPr baseColWidth="10" defaultRowHeight="15" x14ac:dyDescent="0.25"/>
  <cols>
    <col min="1" max="3" width="11.42578125" style="38"/>
    <col min="4" max="4" width="19.42578125" style="38" bestFit="1" customWidth="1"/>
    <col min="5" max="5" width="16.85546875" style="38" customWidth="1"/>
    <col min="6" max="6" width="19.5703125" style="38" customWidth="1"/>
    <col min="7" max="7" width="23.140625" style="38" bestFit="1" customWidth="1"/>
    <col min="8" max="8" width="2.140625" style="38" customWidth="1"/>
    <col min="9" max="9" width="13.140625" style="38" customWidth="1"/>
    <col min="10" max="10" width="14" style="38" customWidth="1"/>
    <col min="11" max="11" width="15.28515625" style="38" customWidth="1"/>
    <col min="12" max="12" width="11.42578125" style="38"/>
    <col min="13" max="13" width="12.5703125" style="38" bestFit="1" customWidth="1"/>
    <col min="14" max="14" width="30.42578125" style="38" bestFit="1" customWidth="1"/>
    <col min="15" max="16384" width="11.42578125" style="38"/>
  </cols>
  <sheetData>
    <row r="1" spans="1:14" x14ac:dyDescent="0.25">
      <c r="A1" s="65" t="s">
        <v>75</v>
      </c>
      <c r="B1" s="65" t="s">
        <v>76</v>
      </c>
      <c r="C1" s="65" t="s">
        <v>71</v>
      </c>
      <c r="D1" s="65" t="s">
        <v>77</v>
      </c>
      <c r="E1" s="65" t="s">
        <v>17</v>
      </c>
      <c r="F1" s="65" t="s">
        <v>78</v>
      </c>
      <c r="G1" s="65" t="s">
        <v>79</v>
      </c>
      <c r="H1" s="65" t="s">
        <v>80</v>
      </c>
      <c r="I1" s="65" t="s">
        <v>81</v>
      </c>
    </row>
    <row r="2" spans="1:14" x14ac:dyDescent="0.25">
      <c r="A2" s="66" t="str">
        <f>I10</f>
        <v>T.N. 564 de T.N. 564 de 1900</v>
      </c>
      <c r="B2" s="67" t="str">
        <f>I20</f>
        <v>CON GOCE</v>
      </c>
      <c r="C2" s="66" t="str">
        <f>CONCATENATE(E11," ",F11," ",G11)</f>
        <v>VERONICA GONZALEZ BRICEÑO</v>
      </c>
      <c r="D2" s="68">
        <f>E15</f>
        <v>98170587</v>
      </c>
      <c r="E2" s="66" t="str">
        <f>E12</f>
        <v>MEDICO NO FAMILIAR</v>
      </c>
      <c r="F2" s="66" t="str">
        <f>CONCATENATE(E30," al ",G30)</f>
        <v>16 de octubre del 2026 al 30 de octubre del 2026</v>
      </c>
      <c r="G2" s="64" t="str">
        <f>E17</f>
        <v>PERSONAL</v>
      </c>
      <c r="H2" s="65" t="str">
        <f>E24</f>
        <v>15  DIAS</v>
      </c>
      <c r="I2" s="65" t="str">
        <f>E14</f>
        <v>MATUTINO</v>
      </c>
      <c r="J2" s="65"/>
    </row>
    <row r="6" spans="1:14" ht="15.75" thickBot="1" x14ac:dyDescent="0.3">
      <c r="L6" s="71"/>
      <c r="M6" s="71"/>
      <c r="N6" s="71"/>
    </row>
    <row r="7" spans="1:14" ht="21" customHeight="1" thickBot="1" x14ac:dyDescent="0.3">
      <c r="D7" s="96" t="s">
        <v>67</v>
      </c>
      <c r="E7" s="97"/>
      <c r="F7" s="97"/>
      <c r="G7" s="97"/>
      <c r="H7" s="97"/>
      <c r="I7" s="97"/>
      <c r="J7" s="97"/>
      <c r="K7" s="98"/>
      <c r="L7" s="71"/>
      <c r="M7" s="71"/>
      <c r="N7" s="71"/>
    </row>
    <row r="8" spans="1:14" ht="21" customHeight="1" x14ac:dyDescent="0.25">
      <c r="D8" s="48"/>
      <c r="E8" s="52" t="s">
        <v>65</v>
      </c>
      <c r="F8" s="90" t="s">
        <v>5</v>
      </c>
      <c r="G8" s="52" t="s">
        <v>6</v>
      </c>
      <c r="H8" s="47"/>
      <c r="I8" s="47"/>
      <c r="J8" s="47"/>
      <c r="K8" s="49"/>
      <c r="L8" s="71"/>
      <c r="M8" s="71"/>
      <c r="N8" s="71"/>
    </row>
    <row r="9" spans="1:14" x14ac:dyDescent="0.25">
      <c r="D9" s="48" t="s">
        <v>70</v>
      </c>
      <c r="E9" s="70">
        <v>5</v>
      </c>
      <c r="F9" s="91">
        <v>10</v>
      </c>
      <c r="G9" s="70">
        <v>2026</v>
      </c>
      <c r="H9" s="47"/>
      <c r="I9" s="58" t="s">
        <v>115</v>
      </c>
      <c r="J9" s="59" t="str">
        <f>TEXT(I9,"dd")</f>
        <v>T.N. 564</v>
      </c>
      <c r="K9" s="49"/>
      <c r="L9" s="71"/>
      <c r="M9" s="71"/>
      <c r="N9" s="71"/>
    </row>
    <row r="10" spans="1:14" x14ac:dyDescent="0.25">
      <c r="D10" s="41"/>
      <c r="E10" s="52" t="s">
        <v>71</v>
      </c>
      <c r="F10" s="52" t="s">
        <v>13</v>
      </c>
      <c r="G10" s="52" t="s">
        <v>14</v>
      </c>
      <c r="H10" s="39"/>
      <c r="I10" s="61" t="str">
        <f>CONCATENATE(J9," de ",J10," de ",J11)</f>
        <v>T.N. 564 de T.N. 564 de 1900</v>
      </c>
      <c r="J10" s="60" t="str">
        <f>TEXT(I9,"mmmm")</f>
        <v>T.N. 564</v>
      </c>
      <c r="K10" s="40"/>
      <c r="L10" s="71"/>
      <c r="M10" s="71"/>
      <c r="N10" s="71"/>
    </row>
    <row r="11" spans="1:14" x14ac:dyDescent="0.25">
      <c r="D11" s="41" t="s">
        <v>62</v>
      </c>
      <c r="E11" s="81" t="s">
        <v>118</v>
      </c>
      <c r="F11" s="86" t="s">
        <v>119</v>
      </c>
      <c r="G11" s="50" t="s">
        <v>127</v>
      </c>
      <c r="H11" s="39"/>
      <c r="I11" s="39"/>
      <c r="J11" s="60" t="str">
        <f>TEXT(,"aaaa")</f>
        <v>1900</v>
      </c>
      <c r="K11" s="40"/>
      <c r="L11" s="71"/>
      <c r="M11" s="71"/>
      <c r="N11" s="71"/>
    </row>
    <row r="12" spans="1:14" x14ac:dyDescent="0.25">
      <c r="D12" s="41" t="s">
        <v>66</v>
      </c>
      <c r="E12" s="93" t="s">
        <v>120</v>
      </c>
      <c r="F12" s="94"/>
      <c r="G12" s="95"/>
      <c r="H12" s="39"/>
      <c r="I12" s="39" t="s">
        <v>105</v>
      </c>
      <c r="J12" s="89" t="s">
        <v>126</v>
      </c>
      <c r="K12" s="40"/>
      <c r="L12" s="71"/>
      <c r="M12" s="71"/>
      <c r="N12" s="71"/>
    </row>
    <row r="13" spans="1:14" x14ac:dyDescent="0.25">
      <c r="D13" s="41" t="s">
        <v>63</v>
      </c>
      <c r="E13" s="107" t="s">
        <v>121</v>
      </c>
      <c r="F13" s="108"/>
      <c r="G13" s="109"/>
      <c r="H13" s="39"/>
      <c r="I13" s="39"/>
      <c r="J13" s="39"/>
      <c r="K13" s="40"/>
      <c r="L13" s="71"/>
      <c r="M13" s="71"/>
      <c r="N13" s="71"/>
    </row>
    <row r="14" spans="1:14" x14ac:dyDescent="0.25">
      <c r="D14" s="41" t="s">
        <v>74</v>
      </c>
      <c r="E14" s="103" t="s">
        <v>122</v>
      </c>
      <c r="F14" s="94"/>
      <c r="G14" s="95"/>
      <c r="H14" s="39"/>
      <c r="I14" s="39"/>
      <c r="J14" s="39"/>
      <c r="K14" s="40"/>
      <c r="L14" s="71"/>
      <c r="M14" s="71"/>
      <c r="N14" s="71"/>
    </row>
    <row r="15" spans="1:14" x14ac:dyDescent="0.25">
      <c r="D15" s="41" t="s">
        <v>59</v>
      </c>
      <c r="E15" s="93">
        <v>98170587</v>
      </c>
      <c r="F15" s="93"/>
      <c r="G15" s="93"/>
      <c r="H15" s="39"/>
      <c r="I15" s="39"/>
      <c r="J15" s="39"/>
      <c r="K15" s="40"/>
      <c r="L15" s="71"/>
      <c r="M15" s="71"/>
      <c r="N15" s="71"/>
    </row>
    <row r="16" spans="1:14" x14ac:dyDescent="0.25">
      <c r="D16" s="41" t="s">
        <v>60</v>
      </c>
      <c r="E16" s="99" t="s">
        <v>116</v>
      </c>
      <c r="F16" s="100"/>
      <c r="G16" s="101"/>
      <c r="H16" s="39"/>
      <c r="I16" s="39"/>
      <c r="J16" s="39"/>
      <c r="K16" s="40"/>
      <c r="L16" s="71"/>
      <c r="M16" s="71"/>
      <c r="N16" s="71"/>
    </row>
    <row r="17" spans="4:14" x14ac:dyDescent="0.25">
      <c r="D17" s="41" t="s">
        <v>68</v>
      </c>
      <c r="E17" s="105" t="s">
        <v>123</v>
      </c>
      <c r="F17" s="100"/>
      <c r="G17" s="101"/>
      <c r="H17" s="42"/>
      <c r="J17" s="42"/>
      <c r="K17" s="40"/>
      <c r="L17" s="71"/>
      <c r="M17" s="71"/>
      <c r="N17" s="71"/>
    </row>
    <row r="18" spans="4:14" x14ac:dyDescent="0.25">
      <c r="D18" s="41" t="s">
        <v>73</v>
      </c>
      <c r="E18" s="102" t="s">
        <v>124</v>
      </c>
      <c r="F18" s="100"/>
      <c r="G18" s="101"/>
      <c r="H18" s="42"/>
      <c r="I18" s="42"/>
      <c r="J18" s="42"/>
      <c r="K18" s="40"/>
      <c r="L18" s="71"/>
      <c r="M18" s="71"/>
      <c r="N18" s="71"/>
    </row>
    <row r="19" spans="4:14" x14ac:dyDescent="0.25">
      <c r="D19" s="41" t="s">
        <v>82</v>
      </c>
      <c r="E19" s="110">
        <v>4431450746</v>
      </c>
      <c r="F19" s="111"/>
      <c r="G19" s="112"/>
      <c r="H19" s="42"/>
      <c r="I19" s="42"/>
      <c r="J19" s="42"/>
      <c r="K19" s="40"/>
      <c r="L19" s="71"/>
      <c r="M19" s="71"/>
      <c r="N19" s="71"/>
    </row>
    <row r="20" spans="4:14" x14ac:dyDescent="0.25">
      <c r="D20" s="41" t="s">
        <v>69</v>
      </c>
      <c r="E20" s="102" t="s">
        <v>117</v>
      </c>
      <c r="F20" s="102"/>
      <c r="G20" s="102"/>
      <c r="H20" s="42"/>
      <c r="I20" s="69" t="str">
        <f>IF(E20="Con goce","CON GOCE","SIN GOCE")</f>
        <v>CON GOCE</v>
      </c>
      <c r="J20" s="42"/>
      <c r="K20" s="40"/>
      <c r="L20" s="71"/>
      <c r="M20" s="71"/>
      <c r="N20" s="71"/>
    </row>
    <row r="21" spans="4:14" x14ac:dyDescent="0.25">
      <c r="D21" s="41"/>
      <c r="E21" s="104" t="s">
        <v>57</v>
      </c>
      <c r="F21" s="104"/>
      <c r="G21" s="104"/>
      <c r="H21" s="39"/>
      <c r="I21" s="104" t="s">
        <v>58</v>
      </c>
      <c r="J21" s="104"/>
      <c r="K21" s="106"/>
      <c r="L21" s="71"/>
      <c r="M21" s="71"/>
      <c r="N21" s="71"/>
    </row>
    <row r="22" spans="4:14" x14ac:dyDescent="0.25">
      <c r="D22" s="41"/>
      <c r="E22" s="53" t="s">
        <v>65</v>
      </c>
      <c r="F22" s="53" t="s">
        <v>5</v>
      </c>
      <c r="G22" s="53" t="s">
        <v>6</v>
      </c>
      <c r="H22" s="39"/>
      <c r="I22" s="53" t="s">
        <v>65</v>
      </c>
      <c r="J22" s="53" t="s">
        <v>5</v>
      </c>
      <c r="K22" s="54" t="s">
        <v>6</v>
      </c>
      <c r="L22" s="71"/>
      <c r="M22" s="71"/>
      <c r="N22" s="71"/>
    </row>
    <row r="23" spans="4:14" x14ac:dyDescent="0.25">
      <c r="D23" s="41" t="s">
        <v>61</v>
      </c>
      <c r="E23" s="51">
        <v>16</v>
      </c>
      <c r="F23" s="51">
        <v>10</v>
      </c>
      <c r="G23" s="62">
        <v>2026</v>
      </c>
      <c r="H23" s="39"/>
      <c r="I23" s="51">
        <v>30</v>
      </c>
      <c r="J23" s="51">
        <v>10</v>
      </c>
      <c r="K23" s="63">
        <v>2026</v>
      </c>
      <c r="L23" s="71"/>
      <c r="M23" s="71"/>
      <c r="N23" s="71"/>
    </row>
    <row r="24" spans="4:14" ht="15.75" thickBot="1" x14ac:dyDescent="0.3">
      <c r="D24" s="43" t="s">
        <v>64</v>
      </c>
      <c r="E24" s="55" t="s">
        <v>125</v>
      </c>
      <c r="F24" s="46"/>
      <c r="G24" s="56"/>
      <c r="H24" s="44"/>
      <c r="I24" s="46"/>
      <c r="J24" s="46"/>
      <c r="K24" s="57"/>
      <c r="L24" s="71"/>
      <c r="M24" s="71"/>
      <c r="N24" s="71"/>
    </row>
    <row r="25" spans="4:14" x14ac:dyDescent="0.25">
      <c r="L25" s="71"/>
      <c r="M25" s="71"/>
      <c r="N25" s="71"/>
    </row>
    <row r="26" spans="4:14" x14ac:dyDescent="0.25">
      <c r="E26" s="64">
        <f>DATE(G23,F23,E23)</f>
        <v>46311</v>
      </c>
      <c r="F26" s="65"/>
      <c r="G26" s="64">
        <f>DATE(K23,J23,I23)</f>
        <v>46325</v>
      </c>
      <c r="L26" s="71"/>
      <c r="M26" s="71"/>
      <c r="N26" s="71"/>
    </row>
    <row r="27" spans="4:14" x14ac:dyDescent="0.25">
      <c r="E27" s="65" t="str">
        <f>TEXT(E26,"dd")</f>
        <v>16</v>
      </c>
      <c r="F27" s="65"/>
      <c r="G27" s="65" t="str">
        <f>TEXT(G26,"dd")</f>
        <v>30</v>
      </c>
      <c r="L27" s="71"/>
      <c r="M27" s="71"/>
      <c r="N27" s="71"/>
    </row>
    <row r="28" spans="4:14" x14ac:dyDescent="0.25">
      <c r="E28" s="65" t="str">
        <f>TEXT(E26,"MMMM")</f>
        <v>octubre</v>
      </c>
      <c r="F28" s="65"/>
      <c r="G28" s="65" t="str">
        <f>TEXT(G26,"mmmm")</f>
        <v>octubre</v>
      </c>
      <c r="H28" s="45"/>
      <c r="I28" s="45"/>
      <c r="J28" s="45"/>
      <c r="L28" s="71"/>
      <c r="M28" s="71"/>
      <c r="N28" s="71"/>
    </row>
    <row r="29" spans="4:14" x14ac:dyDescent="0.25">
      <c r="E29" s="65" t="str">
        <f>TEXT(E26,"aaaa")</f>
        <v>2026</v>
      </c>
      <c r="F29" s="65"/>
      <c r="G29" s="65" t="str">
        <f>TEXT(G26,"aaaa")</f>
        <v>2026</v>
      </c>
      <c r="L29" s="71"/>
      <c r="M29" s="71"/>
      <c r="N29" s="71"/>
    </row>
    <row r="30" spans="4:14" x14ac:dyDescent="0.25">
      <c r="E30" s="65" t="str">
        <f>CONCATENATE(E27," de ",E28," del ",E29)</f>
        <v>16 de octubre del 2026</v>
      </c>
      <c r="F30" s="65"/>
      <c r="G30" s="65" t="str">
        <f>CONCATENATE(G27," de ",G28," del ",G29)</f>
        <v>30 de octubre del 2026</v>
      </c>
      <c r="L30" s="71"/>
      <c r="M30" s="71"/>
      <c r="N30" s="71"/>
    </row>
    <row r="31" spans="4:14" x14ac:dyDescent="0.25">
      <c r="L31" s="71"/>
      <c r="M31" s="71"/>
      <c r="N31" s="71"/>
    </row>
    <row r="32" spans="4:14" x14ac:dyDescent="0.25">
      <c r="L32" s="71"/>
      <c r="M32" s="71"/>
      <c r="N32" s="71"/>
    </row>
  </sheetData>
  <sheetProtection selectLockedCells="1"/>
  <mergeCells count="12">
    <mergeCell ref="E21:G21"/>
    <mergeCell ref="E15:G15"/>
    <mergeCell ref="E17:G17"/>
    <mergeCell ref="I21:K21"/>
    <mergeCell ref="E13:G13"/>
    <mergeCell ref="E19:G19"/>
    <mergeCell ref="E12:G12"/>
    <mergeCell ref="D7:K7"/>
    <mergeCell ref="E16:G16"/>
    <mergeCell ref="E20:G20"/>
    <mergeCell ref="E18:G18"/>
    <mergeCell ref="E14:G14"/>
  </mergeCells>
  <dataValidations count="1">
    <dataValidation type="list" allowBlank="1" showInputMessage="1" showErrorMessage="1" sqref="E20:G20">
      <formula1>"Con goce, Sin goce 1 - 3 días, Sin goce 4 - 60 días, Sin goce 61 - 365 días"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C60"/>
  <sheetViews>
    <sheetView view="pageBreakPreview" topLeftCell="A10" zoomScaleNormal="100" zoomScaleSheetLayoutView="100" workbookViewId="0">
      <selection activeCell="F15" sqref="F15:I15"/>
    </sheetView>
  </sheetViews>
  <sheetFormatPr baseColWidth="10" defaultRowHeight="15" x14ac:dyDescent="0.25"/>
  <cols>
    <col min="1" max="1" width="6.42578125" customWidth="1"/>
    <col min="2" max="2" width="3.140625" customWidth="1"/>
    <col min="3" max="3" width="5" customWidth="1"/>
    <col min="4" max="4" width="6.5703125" customWidth="1"/>
    <col min="5" max="5" width="7.140625" customWidth="1"/>
    <col min="6" max="6" width="4.42578125" customWidth="1"/>
    <col min="7" max="7" width="5.28515625" customWidth="1"/>
    <col min="8" max="8" width="6.7109375" customWidth="1"/>
    <col min="9" max="9" width="6.5703125" customWidth="1"/>
    <col min="10" max="11" width="2.42578125" customWidth="1"/>
    <col min="12" max="12" width="3.5703125" customWidth="1"/>
    <col min="13" max="13" width="6" customWidth="1"/>
    <col min="14" max="14" width="5" customWidth="1"/>
    <col min="15" max="15" width="6" customWidth="1"/>
    <col min="16" max="16" width="2.7109375" customWidth="1"/>
    <col min="17" max="17" width="9.5703125" customWidth="1"/>
    <col min="18" max="18" width="8.5703125" customWidth="1"/>
    <col min="19" max="19" width="7.28515625" customWidth="1"/>
    <col min="20" max="20" width="4.5703125" customWidth="1"/>
    <col min="21" max="21" width="3.7109375" customWidth="1"/>
  </cols>
  <sheetData>
    <row r="1" spans="1:20" ht="9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82" t="s">
        <v>106</v>
      </c>
      <c r="S1" s="83" t="str">
        <f>Generador!E13</f>
        <v>7:30 A 14:00</v>
      </c>
      <c r="T1" s="4"/>
    </row>
    <row r="2" spans="1:20" ht="12" customHeight="1" x14ac:dyDescent="0.25">
      <c r="A2" s="4"/>
      <c r="B2" s="4"/>
      <c r="C2" s="4"/>
      <c r="D2" s="4"/>
      <c r="E2" s="4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4"/>
      <c r="R2" s="82" t="s">
        <v>107</v>
      </c>
      <c r="S2" s="83" t="str">
        <f>Generador!E16</f>
        <v>SAB- DOM</v>
      </c>
      <c r="T2" s="4"/>
    </row>
    <row r="3" spans="1:20" ht="13.5" customHeight="1" x14ac:dyDescent="0.25">
      <c r="A3" s="9"/>
      <c r="B3" s="1"/>
      <c r="C3" s="2"/>
      <c r="D3" s="2"/>
      <c r="E3" s="118" t="s">
        <v>0</v>
      </c>
      <c r="F3" s="118"/>
      <c r="G3" s="118"/>
      <c r="H3" s="118"/>
      <c r="I3" s="118"/>
      <c r="J3" s="6"/>
      <c r="K3" s="6"/>
      <c r="L3" s="6"/>
      <c r="M3" s="6"/>
      <c r="N3" s="6"/>
      <c r="O3" s="6"/>
      <c r="P3" s="6"/>
      <c r="Q3" s="115" t="s">
        <v>1</v>
      </c>
      <c r="R3" s="115"/>
      <c r="S3" s="115"/>
      <c r="T3" s="7"/>
    </row>
    <row r="4" spans="1:20" ht="16.5" customHeight="1" x14ac:dyDescent="0.25">
      <c r="A4" s="9"/>
      <c r="B4" s="3"/>
      <c r="C4" s="4"/>
      <c r="D4" s="4"/>
      <c r="E4" s="114" t="s">
        <v>86</v>
      </c>
      <c r="F4" s="114"/>
      <c r="G4" s="113" t="s">
        <v>2</v>
      </c>
      <c r="H4" s="113"/>
      <c r="I4" s="113"/>
      <c r="J4" s="113"/>
      <c r="K4" s="113"/>
      <c r="L4" s="113"/>
      <c r="M4" s="113"/>
      <c r="N4" s="113"/>
      <c r="O4" s="8"/>
      <c r="P4" s="8"/>
      <c r="Q4" s="116"/>
      <c r="R4" s="116"/>
      <c r="S4" s="116"/>
      <c r="T4" s="9"/>
    </row>
    <row r="5" spans="1:20" ht="26.25" customHeight="1" x14ac:dyDescent="0.25">
      <c r="A5" s="9"/>
      <c r="B5" s="3"/>
      <c r="C5" s="4"/>
      <c r="D5" s="4"/>
      <c r="E5" s="231" t="s">
        <v>87</v>
      </c>
      <c r="F5" s="231"/>
      <c r="G5" s="72"/>
      <c r="H5" s="72"/>
      <c r="I5" s="72"/>
      <c r="J5" s="72"/>
      <c r="K5" s="72"/>
      <c r="L5" s="72"/>
      <c r="M5" s="72"/>
      <c r="N5" s="72"/>
      <c r="O5" s="72"/>
      <c r="P5" s="72"/>
      <c r="Q5" s="117"/>
      <c r="R5" s="117"/>
      <c r="S5" s="117"/>
      <c r="T5" s="9"/>
    </row>
    <row r="6" spans="1:20" ht="15.75" customHeight="1" x14ac:dyDescent="0.25">
      <c r="A6" s="9"/>
      <c r="B6" s="124"/>
      <c r="C6" s="126" t="s">
        <v>3</v>
      </c>
      <c r="D6" s="126"/>
      <c r="E6" s="232" t="s">
        <v>98</v>
      </c>
      <c r="F6" s="232"/>
      <c r="G6" s="232"/>
      <c r="H6" s="232"/>
      <c r="I6" s="232"/>
      <c r="J6" s="232"/>
      <c r="K6" s="232"/>
      <c r="L6" s="73"/>
      <c r="M6" s="234" t="s">
        <v>88</v>
      </c>
      <c r="N6" s="232"/>
      <c r="O6" s="232"/>
      <c r="P6" s="235"/>
      <c r="Q6" s="10" t="s">
        <v>4</v>
      </c>
      <c r="R6" s="10" t="s">
        <v>5</v>
      </c>
      <c r="S6" s="11" t="s">
        <v>6</v>
      </c>
      <c r="T6" s="80"/>
    </row>
    <row r="7" spans="1:20" ht="15" customHeight="1" x14ac:dyDescent="0.25">
      <c r="A7" s="9"/>
      <c r="B7" s="125"/>
      <c r="C7" s="127"/>
      <c r="D7" s="127"/>
      <c r="E7" s="233"/>
      <c r="F7" s="233"/>
      <c r="G7" s="233"/>
      <c r="H7" s="233"/>
      <c r="I7" s="233"/>
      <c r="J7" s="233"/>
      <c r="K7" s="233"/>
      <c r="L7" s="74"/>
      <c r="M7" s="236" t="str">
        <f>Generador!J12</f>
        <v>TM-564</v>
      </c>
      <c r="N7" s="233"/>
      <c r="O7" s="233"/>
      <c r="P7" s="237"/>
      <c r="Q7" s="92">
        <f>Generador!E9</f>
        <v>5</v>
      </c>
      <c r="R7" s="92">
        <f>Generador!F9</f>
        <v>10</v>
      </c>
      <c r="S7" s="12">
        <f>Generador!G9</f>
        <v>2026</v>
      </c>
      <c r="T7" s="13"/>
    </row>
    <row r="8" spans="1:20" ht="10.5" customHeight="1" thickBot="1" x14ac:dyDescent="0.3">
      <c r="A8" s="9"/>
      <c r="B8" s="3"/>
      <c r="C8" s="128" t="s">
        <v>97</v>
      </c>
      <c r="D8" s="128"/>
      <c r="E8" s="128"/>
      <c r="F8" s="128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9"/>
    </row>
    <row r="9" spans="1:20" ht="20.25" customHeight="1" thickBot="1" x14ac:dyDescent="0.3">
      <c r="A9" s="149" t="s">
        <v>7</v>
      </c>
      <c r="B9" s="3"/>
      <c r="C9" s="129"/>
      <c r="D9" s="129"/>
      <c r="E9" s="129"/>
      <c r="F9" s="129"/>
      <c r="G9" s="4"/>
      <c r="H9" s="87"/>
      <c r="I9" s="150" t="s">
        <v>8</v>
      </c>
      <c r="J9" s="151"/>
      <c r="K9" s="151"/>
      <c r="L9" s="151"/>
      <c r="M9" s="151"/>
      <c r="N9" s="151"/>
      <c r="O9" s="88"/>
      <c r="P9" s="14"/>
      <c r="Q9" s="160" t="s">
        <v>9</v>
      </c>
      <c r="R9" s="160"/>
      <c r="S9" s="160"/>
      <c r="T9" s="9"/>
    </row>
    <row r="10" spans="1:20" ht="11.25" customHeight="1" thickBot="1" x14ac:dyDescent="0.3">
      <c r="A10" s="149"/>
      <c r="B10" s="3"/>
      <c r="C10" s="129"/>
      <c r="D10" s="129"/>
      <c r="E10" s="129"/>
      <c r="F10" s="129"/>
      <c r="G10" s="4"/>
      <c r="H10" s="4"/>
      <c r="I10" s="15"/>
      <c r="J10" s="15"/>
      <c r="K10" s="15"/>
      <c r="L10" s="15"/>
      <c r="M10" s="15"/>
      <c r="N10" s="14"/>
      <c r="O10" s="14"/>
      <c r="P10" s="14"/>
      <c r="Q10" s="4"/>
      <c r="R10" s="4"/>
      <c r="S10" s="4"/>
      <c r="T10" s="9"/>
    </row>
    <row r="11" spans="1:20" ht="18" customHeight="1" thickBot="1" x14ac:dyDescent="0.3">
      <c r="A11" s="149"/>
      <c r="B11" s="3"/>
      <c r="C11" s="129"/>
      <c r="D11" s="129"/>
      <c r="E11" s="129"/>
      <c r="F11" s="129"/>
      <c r="G11" s="4"/>
      <c r="H11" s="16"/>
      <c r="I11" s="150" t="s">
        <v>10</v>
      </c>
      <c r="J11" s="151"/>
      <c r="K11" s="151"/>
      <c r="L11" s="151"/>
      <c r="M11" s="151"/>
      <c r="N11" s="161"/>
      <c r="O11" s="17"/>
      <c r="P11" s="18"/>
      <c r="Q11" s="160" t="s">
        <v>11</v>
      </c>
      <c r="R11" s="160"/>
      <c r="S11" s="160"/>
      <c r="T11" s="9"/>
    </row>
    <row r="12" spans="1:20" ht="22.5" customHeight="1" x14ac:dyDescent="0.25">
      <c r="A12" s="149"/>
      <c r="B12" s="3"/>
      <c r="C12" s="129"/>
      <c r="D12" s="129"/>
      <c r="E12" s="129"/>
      <c r="F12" s="129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9"/>
    </row>
    <row r="13" spans="1:20" ht="11.25" customHeight="1" x14ac:dyDescent="0.25">
      <c r="A13" s="149"/>
      <c r="B13" s="5"/>
      <c r="C13" s="162" t="s">
        <v>12</v>
      </c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9"/>
    </row>
    <row r="14" spans="1:20" ht="12.75" customHeight="1" x14ac:dyDescent="0.25">
      <c r="A14" s="149"/>
      <c r="B14" s="137" t="s">
        <v>13</v>
      </c>
      <c r="C14" s="138"/>
      <c r="D14" s="138"/>
      <c r="E14" s="138"/>
      <c r="F14" s="138" t="s">
        <v>14</v>
      </c>
      <c r="G14" s="138"/>
      <c r="H14" s="138"/>
      <c r="I14" s="138"/>
      <c r="J14" s="138" t="s">
        <v>15</v>
      </c>
      <c r="K14" s="138"/>
      <c r="L14" s="138"/>
      <c r="M14" s="138"/>
      <c r="N14" s="138"/>
      <c r="O14" s="138"/>
      <c r="P14" s="139"/>
      <c r="Q14" s="137" t="s">
        <v>16</v>
      </c>
      <c r="R14" s="138"/>
      <c r="S14" s="137" t="s">
        <v>81</v>
      </c>
      <c r="T14" s="139"/>
    </row>
    <row r="15" spans="1:20" ht="12.75" customHeight="1" x14ac:dyDescent="0.25">
      <c r="A15" s="149"/>
      <c r="B15" s="152" t="str">
        <f>Generador!F11</f>
        <v>GONZALEZ</v>
      </c>
      <c r="C15" s="153"/>
      <c r="D15" s="153"/>
      <c r="E15" s="153"/>
      <c r="F15" s="153" t="str">
        <f>Generador!G11</f>
        <v>BRICEÑO</v>
      </c>
      <c r="G15" s="153"/>
      <c r="H15" s="153"/>
      <c r="I15" s="153"/>
      <c r="J15" s="153" t="str">
        <f>Generador!E11</f>
        <v>VERONICA</v>
      </c>
      <c r="K15" s="153"/>
      <c r="L15" s="153"/>
      <c r="M15" s="153"/>
      <c r="N15" s="153"/>
      <c r="O15" s="153"/>
      <c r="P15" s="154"/>
      <c r="Q15" s="152">
        <f>Generador!E15</f>
        <v>98170587</v>
      </c>
      <c r="R15" s="153"/>
      <c r="S15" s="164" t="str">
        <f>Generador!E14</f>
        <v>MATUTINO</v>
      </c>
      <c r="T15" s="165"/>
    </row>
    <row r="16" spans="1:20" ht="12" customHeight="1" x14ac:dyDescent="0.25">
      <c r="A16" s="149"/>
      <c r="B16" s="155" t="s">
        <v>17</v>
      </c>
      <c r="C16" s="156"/>
      <c r="D16" s="156"/>
      <c r="E16" s="156"/>
      <c r="F16" s="156"/>
      <c r="G16" s="156"/>
      <c r="H16" s="156"/>
      <c r="I16" s="157"/>
      <c r="J16" s="21"/>
      <c r="K16" s="156" t="s">
        <v>18</v>
      </c>
      <c r="L16" s="156"/>
      <c r="M16" s="156"/>
      <c r="N16" s="156"/>
      <c r="O16" s="156"/>
      <c r="P16" s="156"/>
      <c r="Q16" s="156"/>
      <c r="R16" s="156"/>
      <c r="S16" s="156"/>
      <c r="T16" s="157"/>
    </row>
    <row r="17" spans="1:29" ht="11.25" customHeight="1" x14ac:dyDescent="0.25">
      <c r="A17" s="149"/>
      <c r="B17" s="22"/>
      <c r="C17" s="153" t="str">
        <f>Generador!E12</f>
        <v>MEDICO NO FAMILIAR</v>
      </c>
      <c r="D17" s="153"/>
      <c r="E17" s="153"/>
      <c r="F17" s="153"/>
      <c r="G17" s="153"/>
      <c r="H17" s="153"/>
      <c r="I17" s="154"/>
      <c r="J17" s="23" t="s">
        <v>19</v>
      </c>
      <c r="K17" s="24"/>
      <c r="L17" s="24"/>
      <c r="M17" s="24"/>
      <c r="N17" s="24"/>
      <c r="O17" s="24"/>
      <c r="P17" s="24"/>
      <c r="Q17" s="24"/>
      <c r="R17" s="24"/>
      <c r="S17" s="24"/>
      <c r="T17" s="25"/>
    </row>
    <row r="18" spans="1:29" s="20" customFormat="1" ht="11.25" customHeight="1" x14ac:dyDescent="0.25">
      <c r="A18" s="149"/>
      <c r="B18" s="27"/>
      <c r="C18" s="158" t="s">
        <v>20</v>
      </c>
      <c r="D18" s="158"/>
      <c r="E18" s="158"/>
      <c r="F18" s="158"/>
      <c r="G18" s="158"/>
      <c r="H18" s="158"/>
      <c r="I18" s="159"/>
      <c r="J18" s="28"/>
      <c r="K18" s="158" t="s">
        <v>21</v>
      </c>
      <c r="L18" s="158"/>
      <c r="M18" s="158"/>
      <c r="N18" s="158"/>
      <c r="O18" s="158"/>
      <c r="P18" s="158"/>
      <c r="Q18" s="158"/>
      <c r="R18" s="158"/>
      <c r="S18" s="158"/>
      <c r="T18" s="29"/>
      <c r="AC18"/>
    </row>
    <row r="19" spans="1:29" ht="11.25" customHeight="1" x14ac:dyDescent="0.25">
      <c r="A19" s="149"/>
      <c r="B19" s="145" t="s">
        <v>22</v>
      </c>
      <c r="C19" s="146"/>
      <c r="D19" s="146"/>
      <c r="E19" s="147"/>
      <c r="F19" s="163" t="s">
        <v>23</v>
      </c>
      <c r="G19" s="163"/>
      <c r="H19" s="163"/>
      <c r="I19" s="163"/>
      <c r="J19" s="145" t="s">
        <v>22</v>
      </c>
      <c r="K19" s="146"/>
      <c r="L19" s="146"/>
      <c r="M19" s="146"/>
      <c r="N19" s="146"/>
      <c r="O19" s="146"/>
      <c r="P19" s="147"/>
      <c r="Q19" s="145" t="s">
        <v>23</v>
      </c>
      <c r="R19" s="146"/>
      <c r="S19" s="146"/>
      <c r="T19" s="147"/>
    </row>
    <row r="20" spans="1:29" s="26" customFormat="1" ht="15.75" customHeight="1" x14ac:dyDescent="0.25">
      <c r="A20" s="149"/>
      <c r="B20" s="137" t="s">
        <v>4</v>
      </c>
      <c r="C20" s="139"/>
      <c r="D20" s="30" t="s">
        <v>5</v>
      </c>
      <c r="E20" s="30" t="s">
        <v>6</v>
      </c>
      <c r="F20" s="130" t="s">
        <v>4</v>
      </c>
      <c r="G20" s="131"/>
      <c r="H20" s="31" t="s">
        <v>5</v>
      </c>
      <c r="I20" s="30" t="s">
        <v>6</v>
      </c>
      <c r="J20" s="132" t="s">
        <v>4</v>
      </c>
      <c r="K20" s="132"/>
      <c r="L20" s="132"/>
      <c r="M20" s="132" t="s">
        <v>5</v>
      </c>
      <c r="N20" s="132"/>
      <c r="O20" s="132" t="s">
        <v>6</v>
      </c>
      <c r="P20" s="132"/>
      <c r="Q20" s="30" t="s">
        <v>4</v>
      </c>
      <c r="R20" s="30" t="s">
        <v>5</v>
      </c>
      <c r="S20" s="133" t="s">
        <v>6</v>
      </c>
      <c r="T20" s="133"/>
      <c r="AC20" s="20"/>
    </row>
    <row r="21" spans="1:29" s="26" customFormat="1" ht="7.5" customHeight="1" x14ac:dyDescent="0.25">
      <c r="A21" s="32"/>
      <c r="B21" s="141">
        <f>Generador!E23</f>
        <v>16</v>
      </c>
      <c r="C21" s="142"/>
      <c r="D21" s="172">
        <f>Generador!F23</f>
        <v>10</v>
      </c>
      <c r="E21" s="148">
        <f>Generador!G23</f>
        <v>2026</v>
      </c>
      <c r="F21" s="172">
        <f>Generador!I23</f>
        <v>30</v>
      </c>
      <c r="G21" s="172"/>
      <c r="H21" s="172">
        <f>Generador!J23</f>
        <v>10</v>
      </c>
      <c r="I21" s="148">
        <f>Generador!K23</f>
        <v>2026</v>
      </c>
      <c r="J21" s="140"/>
      <c r="K21" s="140"/>
      <c r="L21" s="140"/>
      <c r="M21" s="140"/>
      <c r="N21" s="140"/>
      <c r="O21" s="140"/>
      <c r="P21" s="140"/>
      <c r="Q21" s="33"/>
      <c r="R21" s="33"/>
      <c r="S21" s="140"/>
      <c r="T21" s="140"/>
    </row>
    <row r="22" spans="1:29" ht="10.5" customHeight="1" x14ac:dyDescent="0.25">
      <c r="A22" s="9"/>
      <c r="B22" s="143"/>
      <c r="C22" s="144"/>
      <c r="D22" s="172"/>
      <c r="E22" s="148"/>
      <c r="F22" s="172"/>
      <c r="G22" s="172"/>
      <c r="H22" s="172"/>
      <c r="I22" s="148"/>
      <c r="J22" s="169"/>
      <c r="K22" s="169"/>
      <c r="L22" s="169"/>
      <c r="M22" s="169"/>
      <c r="N22" s="169"/>
      <c r="O22" s="170"/>
      <c r="P22" s="171"/>
      <c r="Q22" s="34"/>
      <c r="R22" s="34"/>
      <c r="S22" s="169"/>
      <c r="T22" s="169"/>
    </row>
    <row r="23" spans="1:29" ht="11.1" customHeight="1" x14ac:dyDescent="0.25">
      <c r="A23" s="9"/>
      <c r="B23" s="134" t="s">
        <v>96</v>
      </c>
      <c r="C23" s="135"/>
      <c r="D23" s="135"/>
      <c r="E23" s="136"/>
      <c r="F23" s="137" t="s">
        <v>72</v>
      </c>
      <c r="G23" s="138"/>
      <c r="H23" s="138"/>
      <c r="I23" s="139"/>
      <c r="J23" s="140"/>
      <c r="K23" s="140"/>
      <c r="L23" s="140"/>
      <c r="M23" s="140"/>
      <c r="N23" s="140"/>
      <c r="O23" s="140"/>
      <c r="P23" s="140"/>
      <c r="Q23" s="35"/>
      <c r="R23" s="35"/>
      <c r="S23" s="140"/>
      <c r="T23" s="140"/>
    </row>
    <row r="24" spans="1:29" ht="11.1" customHeight="1" x14ac:dyDescent="0.25">
      <c r="A24" s="9"/>
      <c r="B24" s="36"/>
      <c r="C24" s="174" t="s">
        <v>24</v>
      </c>
      <c r="D24" s="37"/>
      <c r="E24" s="176" t="s">
        <v>25</v>
      </c>
      <c r="F24" s="177" t="str">
        <f>Generador!E24</f>
        <v>15  DIAS</v>
      </c>
      <c r="G24" s="178"/>
      <c r="H24" s="178"/>
      <c r="I24" s="179"/>
      <c r="J24" s="140"/>
      <c r="K24" s="140"/>
      <c r="L24" s="140"/>
      <c r="M24" s="140"/>
      <c r="N24" s="140"/>
      <c r="O24" s="140"/>
      <c r="P24" s="140"/>
      <c r="Q24" s="35"/>
      <c r="R24" s="35"/>
      <c r="S24" s="140"/>
      <c r="T24" s="140"/>
    </row>
    <row r="25" spans="1:29" ht="12" customHeight="1" x14ac:dyDescent="0.25">
      <c r="A25" s="9"/>
      <c r="B25" s="36"/>
      <c r="C25" s="175"/>
      <c r="D25" s="37"/>
      <c r="E25" s="176"/>
      <c r="F25" s="180"/>
      <c r="G25" s="181"/>
      <c r="H25" s="181"/>
      <c r="I25" s="182"/>
      <c r="J25" s="166"/>
      <c r="K25" s="167"/>
      <c r="L25" s="168"/>
      <c r="M25" s="169"/>
      <c r="N25" s="169"/>
      <c r="O25" s="169"/>
      <c r="P25" s="169"/>
      <c r="Q25" s="34"/>
      <c r="R25" s="34"/>
      <c r="S25" s="169"/>
      <c r="T25" s="169"/>
    </row>
    <row r="26" spans="1:29" ht="12" customHeight="1" x14ac:dyDescent="0.25">
      <c r="A26" s="149" t="str">
        <f>CONCATENATE("TEL. "," ",Generador!E19)</f>
        <v>TEL.  4431450746</v>
      </c>
      <c r="B26" s="196" t="s">
        <v>114</v>
      </c>
      <c r="C26" s="197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8"/>
    </row>
    <row r="27" spans="1:29" ht="11.1" customHeight="1" x14ac:dyDescent="0.25">
      <c r="A27" s="149"/>
      <c r="B27" s="122" t="s">
        <v>68</v>
      </c>
      <c r="C27" s="123"/>
      <c r="D27" s="85"/>
      <c r="E27" s="85"/>
      <c r="F27" s="202" t="str">
        <f>Generador!E17</f>
        <v>PERSONAL</v>
      </c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4"/>
    </row>
    <row r="28" spans="1:29" ht="11.1" customHeight="1" x14ac:dyDescent="0.25">
      <c r="A28" s="149"/>
      <c r="B28" s="122" t="s">
        <v>85</v>
      </c>
      <c r="C28" s="123"/>
      <c r="D28" s="123"/>
      <c r="E28" s="123"/>
      <c r="F28" s="199" t="str">
        <f>Generador!E18</f>
        <v>INE</v>
      </c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1"/>
    </row>
    <row r="29" spans="1:29" ht="13.5" customHeight="1" x14ac:dyDescent="0.25">
      <c r="A29" s="149"/>
      <c r="B29" s="173" t="s">
        <v>26</v>
      </c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9"/>
    </row>
    <row r="30" spans="1:29" ht="13.5" customHeight="1" x14ac:dyDescent="0.25">
      <c r="A30" s="149"/>
      <c r="B30" s="173" t="s">
        <v>99</v>
      </c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9"/>
    </row>
    <row r="31" spans="1:29" ht="2.25" customHeight="1" thickBot="1" x14ac:dyDescent="0.3">
      <c r="A31" s="149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9"/>
    </row>
    <row r="32" spans="1:29" ht="21.75" customHeight="1" thickBot="1" x14ac:dyDescent="0.3">
      <c r="A32" s="149"/>
      <c r="B32" s="3"/>
      <c r="C32" s="16"/>
      <c r="D32" s="190" t="s">
        <v>27</v>
      </c>
      <c r="E32" s="191"/>
      <c r="F32" s="191"/>
      <c r="G32" s="4"/>
      <c r="H32" s="16"/>
      <c r="I32" s="190" t="s">
        <v>28</v>
      </c>
      <c r="J32" s="191"/>
      <c r="K32" s="191"/>
      <c r="L32" s="191"/>
      <c r="M32" s="75"/>
      <c r="N32" s="190" t="s">
        <v>29</v>
      </c>
      <c r="O32" s="192"/>
      <c r="P32" s="4"/>
      <c r="Q32" s="16"/>
      <c r="R32" s="190" t="s">
        <v>30</v>
      </c>
      <c r="S32" s="191"/>
      <c r="T32" s="9"/>
    </row>
    <row r="33" spans="1:20" ht="9.75" customHeight="1" x14ac:dyDescent="0.25">
      <c r="A33" s="149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9"/>
    </row>
    <row r="34" spans="1:20" ht="14.25" customHeight="1" x14ac:dyDescent="0.25">
      <c r="A34" s="149"/>
      <c r="B34" s="193" t="s">
        <v>31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5"/>
    </row>
    <row r="35" spans="1:20" ht="24.75" customHeight="1" x14ac:dyDescent="0.25">
      <c r="A35" s="149"/>
      <c r="B35" s="183" t="s">
        <v>32</v>
      </c>
      <c r="C35" s="184"/>
      <c r="D35" s="184"/>
      <c r="E35" s="184"/>
      <c r="F35" s="184"/>
      <c r="G35" s="185"/>
      <c r="H35" s="186" t="s">
        <v>33</v>
      </c>
      <c r="I35" s="187"/>
      <c r="J35" s="188" t="s">
        <v>32</v>
      </c>
      <c r="K35" s="188"/>
      <c r="L35" s="188"/>
      <c r="M35" s="188"/>
      <c r="N35" s="188"/>
      <c r="O35" s="188"/>
      <c r="P35" s="188"/>
      <c r="Q35" s="188" t="s">
        <v>33</v>
      </c>
      <c r="R35" s="188"/>
      <c r="S35" s="188"/>
      <c r="T35" s="188"/>
    </row>
    <row r="36" spans="1:20" ht="15.95" customHeight="1" x14ac:dyDescent="0.25">
      <c r="A36" s="149"/>
      <c r="B36" s="119" t="s">
        <v>34</v>
      </c>
      <c r="C36" s="120"/>
      <c r="D36" s="120"/>
      <c r="E36" s="120"/>
      <c r="F36" s="120"/>
      <c r="G36" s="121"/>
      <c r="H36" s="140"/>
      <c r="I36" s="140"/>
      <c r="J36" s="189" t="s">
        <v>35</v>
      </c>
      <c r="K36" s="189"/>
      <c r="L36" s="189"/>
      <c r="M36" s="189"/>
      <c r="N36" s="189"/>
      <c r="O36" s="189"/>
      <c r="P36" s="189"/>
      <c r="Q36" s="140"/>
      <c r="R36" s="140"/>
      <c r="S36" s="140"/>
      <c r="T36" s="140"/>
    </row>
    <row r="37" spans="1:20" ht="15.95" customHeight="1" x14ac:dyDescent="0.25">
      <c r="A37" s="149"/>
      <c r="B37" s="119" t="s">
        <v>36</v>
      </c>
      <c r="C37" s="120"/>
      <c r="D37" s="120"/>
      <c r="E37" s="120"/>
      <c r="F37" s="120"/>
      <c r="G37" s="121"/>
      <c r="H37" s="140"/>
      <c r="I37" s="140"/>
      <c r="J37" s="189" t="s">
        <v>37</v>
      </c>
      <c r="K37" s="189"/>
      <c r="L37" s="189"/>
      <c r="M37" s="189"/>
      <c r="N37" s="189"/>
      <c r="O37" s="189"/>
      <c r="P37" s="189"/>
      <c r="Q37" s="140"/>
      <c r="R37" s="140"/>
      <c r="S37" s="140"/>
      <c r="T37" s="140"/>
    </row>
    <row r="38" spans="1:20" ht="15.95" customHeight="1" x14ac:dyDescent="0.25">
      <c r="A38" s="149"/>
      <c r="B38" s="119" t="s">
        <v>38</v>
      </c>
      <c r="C38" s="120"/>
      <c r="D38" s="120"/>
      <c r="E38" s="120"/>
      <c r="F38" s="120"/>
      <c r="G38" s="121"/>
      <c r="H38" s="140"/>
      <c r="I38" s="140"/>
      <c r="J38" s="189" t="s">
        <v>39</v>
      </c>
      <c r="K38" s="189"/>
      <c r="L38" s="189"/>
      <c r="M38" s="189"/>
      <c r="N38" s="189"/>
      <c r="O38" s="189"/>
      <c r="P38" s="189"/>
      <c r="Q38" s="140"/>
      <c r="R38" s="140"/>
      <c r="S38" s="140"/>
      <c r="T38" s="140"/>
    </row>
    <row r="39" spans="1:20" ht="15.95" customHeight="1" x14ac:dyDescent="0.25">
      <c r="A39" s="9"/>
      <c r="B39" s="119" t="s">
        <v>100</v>
      </c>
      <c r="C39" s="120"/>
      <c r="D39" s="120"/>
      <c r="E39" s="120"/>
      <c r="F39" s="120"/>
      <c r="G39" s="121"/>
      <c r="H39" s="140"/>
      <c r="I39" s="140"/>
      <c r="J39" s="189" t="s">
        <v>40</v>
      </c>
      <c r="K39" s="189"/>
      <c r="L39" s="189"/>
      <c r="M39" s="189"/>
      <c r="N39" s="189"/>
      <c r="O39" s="189"/>
      <c r="P39" s="189"/>
      <c r="Q39" s="140"/>
      <c r="R39" s="140"/>
      <c r="S39" s="140"/>
      <c r="T39" s="140"/>
    </row>
    <row r="40" spans="1:20" ht="15.95" customHeight="1" x14ac:dyDescent="0.25">
      <c r="A40" s="9"/>
      <c r="B40" s="119" t="s">
        <v>101</v>
      </c>
      <c r="C40" s="120"/>
      <c r="D40" s="120"/>
      <c r="E40" s="120"/>
      <c r="F40" s="120"/>
      <c r="G40" s="121"/>
      <c r="H40" s="140"/>
      <c r="I40" s="140"/>
      <c r="J40" s="189" t="s">
        <v>41</v>
      </c>
      <c r="K40" s="189"/>
      <c r="L40" s="189"/>
      <c r="M40" s="189"/>
      <c r="N40" s="189"/>
      <c r="O40" s="189"/>
      <c r="P40" s="189"/>
      <c r="Q40" s="140"/>
      <c r="R40" s="140"/>
      <c r="S40" s="140"/>
      <c r="T40" s="140"/>
    </row>
    <row r="41" spans="1:20" ht="15.95" customHeight="1" x14ac:dyDescent="0.25">
      <c r="A41" s="9"/>
      <c r="B41" s="119" t="s">
        <v>102</v>
      </c>
      <c r="C41" s="120"/>
      <c r="D41" s="120"/>
      <c r="E41" s="120"/>
      <c r="F41" s="120"/>
      <c r="G41" s="121"/>
      <c r="H41" s="140"/>
      <c r="I41" s="140"/>
      <c r="J41" s="205" t="s">
        <v>43</v>
      </c>
      <c r="K41" s="206"/>
      <c r="L41" s="206"/>
      <c r="M41" s="206"/>
      <c r="N41" s="206"/>
      <c r="O41" s="206"/>
      <c r="P41" s="206"/>
      <c r="Q41" s="206"/>
      <c r="R41" s="206"/>
      <c r="S41" s="206"/>
      <c r="T41" s="207"/>
    </row>
    <row r="42" spans="1:20" ht="15.95" customHeight="1" x14ac:dyDescent="0.25">
      <c r="A42" s="9"/>
      <c r="B42" s="119" t="s">
        <v>42</v>
      </c>
      <c r="C42" s="120"/>
      <c r="D42" s="120"/>
      <c r="E42" s="120"/>
      <c r="F42" s="120"/>
      <c r="G42" s="121"/>
      <c r="H42" s="140"/>
      <c r="I42" s="140"/>
      <c r="J42" s="208"/>
      <c r="K42" s="209"/>
      <c r="L42" s="209"/>
      <c r="M42" s="209"/>
      <c r="N42" s="209"/>
      <c r="O42" s="209"/>
      <c r="P42" s="209"/>
      <c r="Q42" s="209"/>
      <c r="R42" s="209"/>
      <c r="S42" s="209"/>
      <c r="T42" s="210"/>
    </row>
    <row r="43" spans="1:20" ht="15.95" customHeight="1" x14ac:dyDescent="0.25">
      <c r="A43" s="9"/>
      <c r="B43" s="77" t="s">
        <v>44</v>
      </c>
      <c r="C43" s="78"/>
      <c r="D43" s="78"/>
      <c r="E43" s="78"/>
      <c r="F43" s="78"/>
      <c r="G43" s="79"/>
      <c r="H43" s="140"/>
      <c r="I43" s="140"/>
      <c r="J43" s="208"/>
      <c r="K43" s="209"/>
      <c r="L43" s="209"/>
      <c r="M43" s="209"/>
      <c r="N43" s="209"/>
      <c r="O43" s="209"/>
      <c r="P43" s="209"/>
      <c r="Q43" s="209"/>
      <c r="R43" s="209"/>
      <c r="S43" s="209"/>
      <c r="T43" s="210"/>
    </row>
    <row r="44" spans="1:20" ht="15.95" customHeight="1" x14ac:dyDescent="0.25">
      <c r="A44" s="9"/>
      <c r="B44" s="77" t="s">
        <v>103</v>
      </c>
      <c r="C44" s="78"/>
      <c r="D44" s="78"/>
      <c r="E44" s="78"/>
      <c r="F44" s="78"/>
      <c r="G44" s="79"/>
      <c r="H44" s="140"/>
      <c r="I44" s="140"/>
      <c r="J44" s="211"/>
      <c r="K44" s="212"/>
      <c r="L44" s="212"/>
      <c r="M44" s="212"/>
      <c r="N44" s="212"/>
      <c r="O44" s="212"/>
      <c r="P44" s="212"/>
      <c r="Q44" s="212"/>
      <c r="R44" s="212"/>
      <c r="S44" s="212"/>
      <c r="T44" s="213"/>
    </row>
    <row r="45" spans="1:20" ht="15" customHeight="1" x14ac:dyDescent="0.25">
      <c r="A45" s="9"/>
      <c r="B45" s="77" t="s">
        <v>45</v>
      </c>
      <c r="C45" s="78"/>
      <c r="D45" s="78"/>
      <c r="E45" s="78"/>
      <c r="F45" s="78"/>
      <c r="G45" s="79"/>
      <c r="H45" s="140"/>
      <c r="I45" s="140"/>
      <c r="J45" s="163" t="s">
        <v>46</v>
      </c>
      <c r="K45" s="163"/>
      <c r="L45" s="163"/>
      <c r="M45" s="163"/>
      <c r="N45" s="163"/>
      <c r="O45" s="163"/>
      <c r="P45" s="163"/>
      <c r="Q45" s="163"/>
      <c r="R45" s="163"/>
      <c r="S45" s="163"/>
      <c r="T45" s="163"/>
    </row>
    <row r="46" spans="1:20" ht="21.75" customHeight="1" x14ac:dyDescent="0.25">
      <c r="A46" s="9"/>
      <c r="B46" s="219" t="s">
        <v>91</v>
      </c>
      <c r="C46" s="220"/>
      <c r="D46" s="220"/>
      <c r="E46" s="220"/>
      <c r="F46" s="220"/>
      <c r="G46" s="221"/>
      <c r="H46" s="219" t="s">
        <v>90</v>
      </c>
      <c r="I46" s="224"/>
      <c r="J46" s="224"/>
      <c r="K46" s="224"/>
      <c r="L46" s="224"/>
      <c r="M46" s="224"/>
      <c r="N46" s="225"/>
      <c r="O46" s="222" t="s">
        <v>89</v>
      </c>
      <c r="P46" s="223"/>
      <c r="Q46" s="223"/>
      <c r="R46" s="223"/>
      <c r="S46" s="223"/>
      <c r="T46" s="223"/>
    </row>
    <row r="47" spans="1:20" ht="11.1" customHeight="1" x14ac:dyDescent="0.25">
      <c r="A47" s="9"/>
      <c r="B47" s="215" t="str">
        <f>CONCATENATE("C. ",J15," ",B15," ",F15)</f>
        <v>C. VERONICA GONZALEZ BRICEÑO</v>
      </c>
      <c r="C47" s="216"/>
      <c r="D47" s="216"/>
      <c r="E47" s="216"/>
      <c r="F47" s="216"/>
      <c r="G47" s="217"/>
      <c r="H47" s="218" t="s">
        <v>93</v>
      </c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</row>
    <row r="48" spans="1:20" ht="11.1" customHeight="1" x14ac:dyDescent="0.25">
      <c r="A48" s="9"/>
      <c r="B48" s="226" t="s">
        <v>92</v>
      </c>
      <c r="C48" s="227"/>
      <c r="D48" s="227"/>
      <c r="E48" s="227"/>
      <c r="F48" s="227"/>
      <c r="G48" s="228"/>
      <c r="H48" s="229" t="s">
        <v>94</v>
      </c>
      <c r="I48" s="230"/>
      <c r="J48" s="230"/>
      <c r="K48" s="230"/>
      <c r="L48" s="230"/>
      <c r="M48" s="230"/>
      <c r="N48" s="230"/>
      <c r="O48" s="229" t="s">
        <v>95</v>
      </c>
      <c r="P48" s="230"/>
      <c r="Q48" s="230"/>
      <c r="R48" s="230"/>
      <c r="S48" s="230"/>
      <c r="T48" s="230"/>
    </row>
    <row r="49" spans="1:20" ht="18" customHeight="1" x14ac:dyDescent="0.25">
      <c r="A49" s="9"/>
      <c r="B49" s="137" t="s">
        <v>47</v>
      </c>
      <c r="C49" s="138"/>
      <c r="D49" s="138"/>
      <c r="E49" s="138"/>
      <c r="F49" s="138"/>
      <c r="G49" s="139"/>
      <c r="H49" s="133" t="s">
        <v>46</v>
      </c>
      <c r="I49" s="133"/>
      <c r="J49" s="133"/>
      <c r="K49" s="133"/>
      <c r="L49" s="133"/>
      <c r="M49" s="133"/>
      <c r="N49" s="133"/>
      <c r="O49" s="242"/>
      <c r="P49" s="242"/>
      <c r="Q49" s="242"/>
      <c r="R49" s="242"/>
      <c r="S49" s="242"/>
      <c r="T49" s="242"/>
    </row>
    <row r="50" spans="1:20" ht="15.95" customHeight="1" x14ac:dyDescent="0.25">
      <c r="A50" s="9"/>
      <c r="B50" s="119" t="s">
        <v>84</v>
      </c>
      <c r="C50" s="120"/>
      <c r="D50" s="120"/>
      <c r="E50" s="121"/>
      <c r="F50" s="214">
        <v>1602</v>
      </c>
      <c r="G50" s="214"/>
      <c r="H50" s="214"/>
      <c r="I50" s="214"/>
      <c r="J50" s="215" t="s">
        <v>104</v>
      </c>
      <c r="K50" s="216"/>
      <c r="L50" s="216"/>
      <c r="M50" s="216"/>
      <c r="N50" s="216"/>
      <c r="O50" s="216"/>
      <c r="P50" s="216"/>
      <c r="Q50" s="216"/>
      <c r="R50" s="216"/>
      <c r="S50" s="216"/>
      <c r="T50" s="217"/>
    </row>
    <row r="51" spans="1:20" ht="15.95" customHeight="1" x14ac:dyDescent="0.25">
      <c r="A51" s="9"/>
      <c r="B51" s="119" t="s">
        <v>48</v>
      </c>
      <c r="C51" s="120"/>
      <c r="D51" s="120"/>
      <c r="E51" s="121"/>
      <c r="F51" s="214"/>
      <c r="G51" s="214"/>
      <c r="H51" s="214"/>
      <c r="I51" s="214"/>
      <c r="J51" s="215"/>
      <c r="K51" s="216"/>
      <c r="L51" s="216"/>
      <c r="M51" s="216"/>
      <c r="N51" s="216"/>
      <c r="O51" s="216"/>
      <c r="P51" s="216"/>
      <c r="Q51" s="216"/>
      <c r="R51" s="216"/>
      <c r="S51" s="216"/>
      <c r="T51" s="217"/>
    </row>
    <row r="52" spans="1:20" ht="15.95" customHeight="1" x14ac:dyDescent="0.25">
      <c r="A52" s="9"/>
      <c r="B52" s="119" t="s">
        <v>16</v>
      </c>
      <c r="C52" s="120"/>
      <c r="D52" s="120"/>
      <c r="E52" s="121"/>
      <c r="F52" s="214"/>
      <c r="G52" s="214"/>
      <c r="H52" s="214"/>
      <c r="I52" s="214"/>
      <c r="J52" s="193" t="s">
        <v>50</v>
      </c>
      <c r="K52" s="194"/>
      <c r="L52" s="194"/>
      <c r="M52" s="194"/>
      <c r="N52" s="194"/>
      <c r="O52" s="194"/>
      <c r="P52" s="194"/>
      <c r="Q52" s="194"/>
      <c r="R52" s="194"/>
      <c r="S52" s="194"/>
      <c r="T52" s="195"/>
    </row>
    <row r="53" spans="1:20" ht="15.95" customHeight="1" x14ac:dyDescent="0.25">
      <c r="A53" s="9"/>
      <c r="B53" s="119" t="s">
        <v>49</v>
      </c>
      <c r="C53" s="120"/>
      <c r="D53" s="120"/>
      <c r="E53" s="121"/>
      <c r="F53" s="214"/>
      <c r="G53" s="214"/>
      <c r="H53" s="214"/>
      <c r="I53" s="214"/>
      <c r="J53" s="130" t="s">
        <v>52</v>
      </c>
      <c r="K53" s="238"/>
      <c r="L53" s="238"/>
      <c r="M53" s="238"/>
      <c r="N53" s="238"/>
      <c r="O53" s="238"/>
      <c r="P53" s="131"/>
      <c r="Q53" s="130" t="s">
        <v>53</v>
      </c>
      <c r="R53" s="238"/>
      <c r="S53" s="238"/>
      <c r="T53" s="131"/>
    </row>
    <row r="54" spans="1:20" ht="15.95" customHeight="1" x14ac:dyDescent="0.25">
      <c r="A54" s="9"/>
      <c r="B54" s="119" t="s">
        <v>51</v>
      </c>
      <c r="C54" s="120"/>
      <c r="D54" s="120"/>
      <c r="E54" s="121"/>
      <c r="F54" s="214"/>
      <c r="G54" s="214"/>
      <c r="H54" s="214"/>
      <c r="I54" s="214"/>
      <c r="J54" s="215"/>
      <c r="K54" s="216"/>
      <c r="L54" s="216"/>
      <c r="M54" s="216"/>
      <c r="N54" s="216"/>
      <c r="O54" s="216"/>
      <c r="P54" s="217"/>
      <c r="Q54" s="215"/>
      <c r="R54" s="216"/>
      <c r="S54" s="216"/>
      <c r="T54" s="217"/>
    </row>
    <row r="55" spans="1:20" ht="15.95" customHeight="1" x14ac:dyDescent="0.25">
      <c r="A55" s="9"/>
      <c r="B55" s="119" t="s">
        <v>54</v>
      </c>
      <c r="C55" s="120"/>
      <c r="D55" s="120"/>
      <c r="E55" s="121"/>
      <c r="F55" s="214"/>
      <c r="G55" s="214"/>
      <c r="H55" s="214"/>
      <c r="I55" s="214"/>
      <c r="J55" s="215"/>
      <c r="K55" s="216"/>
      <c r="L55" s="216"/>
      <c r="M55" s="216"/>
      <c r="N55" s="216"/>
      <c r="O55" s="216"/>
      <c r="P55" s="217"/>
      <c r="Q55" s="215"/>
      <c r="R55" s="216"/>
      <c r="S55" s="216"/>
      <c r="T55" s="217"/>
    </row>
    <row r="56" spans="1:20" ht="15.95" customHeight="1" x14ac:dyDescent="0.25">
      <c r="A56" s="9"/>
      <c r="B56" s="119" t="s">
        <v>55</v>
      </c>
      <c r="C56" s="120"/>
      <c r="D56" s="120"/>
      <c r="E56" s="121"/>
      <c r="F56" s="214"/>
      <c r="G56" s="214"/>
      <c r="H56" s="214"/>
      <c r="I56" s="214"/>
      <c r="J56" s="239"/>
      <c r="K56" s="240"/>
      <c r="L56" s="240"/>
      <c r="M56" s="240"/>
      <c r="N56" s="240"/>
      <c r="O56" s="240"/>
      <c r="P56" s="241"/>
      <c r="Q56" s="215"/>
      <c r="R56" s="216"/>
      <c r="S56" s="216"/>
      <c r="T56" s="217"/>
    </row>
    <row r="57" spans="1:20" ht="15.95" customHeight="1" x14ac:dyDescent="0.25">
      <c r="A57" s="9"/>
      <c r="B57" s="119" t="s">
        <v>56</v>
      </c>
      <c r="C57" s="120"/>
      <c r="D57" s="120"/>
      <c r="E57" s="121"/>
      <c r="F57" s="214"/>
      <c r="G57" s="214"/>
      <c r="H57" s="214"/>
      <c r="I57" s="214"/>
      <c r="J57" s="145" t="s">
        <v>46</v>
      </c>
      <c r="K57" s="146"/>
      <c r="L57" s="146"/>
      <c r="M57" s="146"/>
      <c r="N57" s="146"/>
      <c r="O57" s="146"/>
      <c r="P57" s="147"/>
      <c r="Q57" s="239"/>
      <c r="R57" s="240"/>
      <c r="S57" s="240"/>
      <c r="T57" s="241"/>
    </row>
    <row r="58" spans="1:20" ht="12" customHeight="1" x14ac:dyDescent="0.25">
      <c r="A58" s="84"/>
      <c r="Q58" t="s">
        <v>83</v>
      </c>
    </row>
    <row r="59" spans="1:20" ht="11.1" customHeight="1" x14ac:dyDescent="0.25"/>
    <row r="60" spans="1:20" ht="8.25" customHeight="1" x14ac:dyDescent="0.25"/>
  </sheetData>
  <sheetProtection password="EC8D" sheet="1" formatCells="0" formatColumns="0" formatRows="0" insertColumns="0" insertRows="0" insertHyperlinks="0" deleteColumns="0" deleteRows="0" sort="0" autoFilter="0" pivotTables="0"/>
  <mergeCells count="152">
    <mergeCell ref="E5:F5"/>
    <mergeCell ref="E6:K7"/>
    <mergeCell ref="M6:P6"/>
    <mergeCell ref="M7:P7"/>
    <mergeCell ref="F55:I55"/>
    <mergeCell ref="B57:E57"/>
    <mergeCell ref="F57:I57"/>
    <mergeCell ref="J57:P57"/>
    <mergeCell ref="B52:E52"/>
    <mergeCell ref="F52:I52"/>
    <mergeCell ref="J52:T52"/>
    <mergeCell ref="B53:E53"/>
    <mergeCell ref="F53:I53"/>
    <mergeCell ref="Q53:T57"/>
    <mergeCell ref="B54:E54"/>
    <mergeCell ref="F54:I54"/>
    <mergeCell ref="B55:E55"/>
    <mergeCell ref="F56:I56"/>
    <mergeCell ref="B56:E56"/>
    <mergeCell ref="J53:P56"/>
    <mergeCell ref="B49:G49"/>
    <mergeCell ref="H49:N49"/>
    <mergeCell ref="O49:T49"/>
    <mergeCell ref="B50:E50"/>
    <mergeCell ref="B41:G41"/>
    <mergeCell ref="H41:I41"/>
    <mergeCell ref="J41:T44"/>
    <mergeCell ref="B42:G42"/>
    <mergeCell ref="H42:I42"/>
    <mergeCell ref="H43:I43"/>
    <mergeCell ref="H44:I44"/>
    <mergeCell ref="F50:I50"/>
    <mergeCell ref="J50:T51"/>
    <mergeCell ref="F51:I51"/>
    <mergeCell ref="H45:I45"/>
    <mergeCell ref="J45:T45"/>
    <mergeCell ref="B47:G47"/>
    <mergeCell ref="H47:N47"/>
    <mergeCell ref="O47:T47"/>
    <mergeCell ref="B46:G46"/>
    <mergeCell ref="O46:T46"/>
    <mergeCell ref="H46:N46"/>
    <mergeCell ref="B48:G48"/>
    <mergeCell ref="H48:N48"/>
    <mergeCell ref="O48:T48"/>
    <mergeCell ref="R32:S32"/>
    <mergeCell ref="B34:T34"/>
    <mergeCell ref="B26:T26"/>
    <mergeCell ref="B28:E28"/>
    <mergeCell ref="B39:G39"/>
    <mergeCell ref="H39:I39"/>
    <mergeCell ref="J39:P39"/>
    <mergeCell ref="Q39:T39"/>
    <mergeCell ref="B40:G40"/>
    <mergeCell ref="H40:I40"/>
    <mergeCell ref="J40:P40"/>
    <mergeCell ref="Q40:T40"/>
    <mergeCell ref="B37:G37"/>
    <mergeCell ref="H37:I37"/>
    <mergeCell ref="J37:P37"/>
    <mergeCell ref="Q37:T37"/>
    <mergeCell ref="B38:G38"/>
    <mergeCell ref="H38:I38"/>
    <mergeCell ref="J38:P38"/>
    <mergeCell ref="Q38:T38"/>
    <mergeCell ref="F28:T28"/>
    <mergeCell ref="F27:T27"/>
    <mergeCell ref="D21:D22"/>
    <mergeCell ref="E21:E22"/>
    <mergeCell ref="F21:G22"/>
    <mergeCell ref="H21:H22"/>
    <mergeCell ref="A26:A38"/>
    <mergeCell ref="B29:T29"/>
    <mergeCell ref="C24:C25"/>
    <mergeCell ref="E24:E25"/>
    <mergeCell ref="F24:I25"/>
    <mergeCell ref="J24:L24"/>
    <mergeCell ref="M24:N24"/>
    <mergeCell ref="O24:P24"/>
    <mergeCell ref="B35:G35"/>
    <mergeCell ref="H35:I35"/>
    <mergeCell ref="J35:P35"/>
    <mergeCell ref="Q35:T35"/>
    <mergeCell ref="B36:G36"/>
    <mergeCell ref="H36:I36"/>
    <mergeCell ref="J36:P36"/>
    <mergeCell ref="Q36:T36"/>
    <mergeCell ref="B30:T30"/>
    <mergeCell ref="D32:F32"/>
    <mergeCell ref="I32:L32"/>
    <mergeCell ref="N32:O32"/>
    <mergeCell ref="J25:L25"/>
    <mergeCell ref="M25:N25"/>
    <mergeCell ref="O25:P25"/>
    <mergeCell ref="S25:T25"/>
    <mergeCell ref="S23:T23"/>
    <mergeCell ref="J21:L21"/>
    <mergeCell ref="M21:N21"/>
    <mergeCell ref="O21:P21"/>
    <mergeCell ref="S21:T21"/>
    <mergeCell ref="J22:L22"/>
    <mergeCell ref="M22:N22"/>
    <mergeCell ref="O22:P22"/>
    <mergeCell ref="S22:T22"/>
    <mergeCell ref="A9:A20"/>
    <mergeCell ref="I9:N9"/>
    <mergeCell ref="B15:E15"/>
    <mergeCell ref="F15:I15"/>
    <mergeCell ref="J15:P15"/>
    <mergeCell ref="B19:E19"/>
    <mergeCell ref="B16:I16"/>
    <mergeCell ref="K16:T16"/>
    <mergeCell ref="C17:I17"/>
    <mergeCell ref="C18:I18"/>
    <mergeCell ref="K18:S18"/>
    <mergeCell ref="Q9:S9"/>
    <mergeCell ref="I11:N11"/>
    <mergeCell ref="Q11:S11"/>
    <mergeCell ref="C13:S13"/>
    <mergeCell ref="B14:E14"/>
    <mergeCell ref="F14:I14"/>
    <mergeCell ref="J14:P14"/>
    <mergeCell ref="F19:I19"/>
    <mergeCell ref="J19:P19"/>
    <mergeCell ref="Q15:R15"/>
    <mergeCell ref="Q14:R14"/>
    <mergeCell ref="S14:T14"/>
    <mergeCell ref="S15:T15"/>
    <mergeCell ref="G4:N4"/>
    <mergeCell ref="E4:F4"/>
    <mergeCell ref="Q3:S5"/>
    <mergeCell ref="E3:I3"/>
    <mergeCell ref="B51:E51"/>
    <mergeCell ref="B27:C27"/>
    <mergeCell ref="B6:B7"/>
    <mergeCell ref="C6:D7"/>
    <mergeCell ref="C8:F12"/>
    <mergeCell ref="F20:G20"/>
    <mergeCell ref="J20:L20"/>
    <mergeCell ref="M20:N20"/>
    <mergeCell ref="O20:P20"/>
    <mergeCell ref="S20:T20"/>
    <mergeCell ref="B23:E23"/>
    <mergeCell ref="F23:I23"/>
    <mergeCell ref="J23:L23"/>
    <mergeCell ref="M23:N23"/>
    <mergeCell ref="O23:P23"/>
    <mergeCell ref="B21:C22"/>
    <mergeCell ref="Q19:T19"/>
    <mergeCell ref="B20:C20"/>
    <mergeCell ref="I21:I22"/>
    <mergeCell ref="S24:T24"/>
  </mergeCells>
  <printOptions horizontalCentered="1" verticalCentered="1"/>
  <pageMargins left="3.937007874015748E-2" right="0.23622047244094491" top="0.35433070866141736" bottom="0.19685039370078741" header="0.31496062992125984" footer="0"/>
  <pageSetup scale="9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256C6A60-2D25-4B57-9972-8D4DA19517B9}">
            <xm:f>Generador!$E$20="Con goce"</xm:f>
            <x14:dxf>
              <fill>
                <patternFill>
                  <bgColor theme="1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3" id="{B23CD864-6546-4B4B-87CC-8678C01893BF}">
            <xm:f>Generador!$E$20="Sin goce 1 - 3 días"</xm:f>
            <x14:dxf>
              <fill>
                <patternFill>
                  <bgColor theme="1"/>
                </patternFill>
              </fill>
            </x14:dxf>
          </x14:cfRule>
          <xm:sqref>O9</xm:sqref>
        </x14:conditionalFormatting>
        <x14:conditionalFormatting xmlns:xm="http://schemas.microsoft.com/office/excel/2006/main">
          <x14:cfRule type="expression" priority="2" id="{9AD177CE-E9D4-446D-B17A-13E2FDBB8CC7}">
            <xm:f>Generador!$E$20="Sin goce 4 - 60 días"</xm:f>
            <x14:dxf>
              <fill>
                <patternFill>
                  <bgColor theme="1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1" id="{7A064187-D902-4229-AD3E-9220487BFA2E}">
            <xm:f>Generador!$E$20="Sin goce 61 - 365 días"</xm:f>
            <x14:dxf>
              <fill>
                <patternFill>
                  <bgColor theme="1"/>
                </patternFill>
              </fill>
            </x14:dxf>
          </x14:cfRule>
          <xm:sqref>O11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11"/>
  <sheetViews>
    <sheetView workbookViewId="0">
      <selection activeCell="B9" sqref="B9"/>
    </sheetView>
  </sheetViews>
  <sheetFormatPr baseColWidth="10" defaultRowHeight="15" x14ac:dyDescent="0.25"/>
  <sheetData>
    <row r="2" spans="1:2" x14ac:dyDescent="0.25">
      <c r="A2" t="s">
        <v>108</v>
      </c>
    </row>
    <row r="4" spans="1:2" x14ac:dyDescent="0.25">
      <c r="A4" t="s">
        <v>109</v>
      </c>
      <c r="B4">
        <v>15</v>
      </c>
    </row>
    <row r="5" spans="1:2" x14ac:dyDescent="0.25">
      <c r="A5" t="s">
        <v>110</v>
      </c>
      <c r="B5">
        <v>31</v>
      </c>
    </row>
    <row r="6" spans="1:2" x14ac:dyDescent="0.25">
      <c r="A6" t="s">
        <v>111</v>
      </c>
      <c r="B6">
        <v>31</v>
      </c>
    </row>
    <row r="7" spans="1:2" x14ac:dyDescent="0.25">
      <c r="A7" t="s">
        <v>112</v>
      </c>
      <c r="B7">
        <v>30</v>
      </c>
    </row>
    <row r="8" spans="1:2" x14ac:dyDescent="0.25">
      <c r="A8" t="s">
        <v>113</v>
      </c>
      <c r="B8">
        <v>15</v>
      </c>
    </row>
    <row r="11" spans="1:2" x14ac:dyDescent="0.25">
      <c r="B11">
        <f>SUM(B4:B8)</f>
        <v>122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E31" sqref="E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Generador</vt:lpstr>
      <vt:lpstr>Licencia</vt:lpstr>
      <vt:lpstr>Hoja1</vt:lpstr>
      <vt:lpstr>Hoja2</vt:lpstr>
      <vt:lpstr>Hoja3</vt:lpstr>
      <vt:lpstr>Hoja4</vt:lpstr>
      <vt:lpstr>Licencia!Área_de_impresión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2026-09-02T15:35:21Z</dcterms:modified>
</cp:coreProperties>
</file>